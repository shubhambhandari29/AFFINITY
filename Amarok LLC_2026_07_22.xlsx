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hanover2-my.sharepoint.com/personal/sh1bhandari_hanover_com/Documents/Desktop/Hanover/SACPlatformAPI/services/loss_run/Reports/"/>
    </mc:Choice>
  </mc:AlternateContent>
  <xr:revisionPtr revIDLastSave="1" documentId="11_C948686865C45DFDEB6C4F7485C771C16F03D975" xr6:coauthVersionLast="47" xr6:coauthVersionMax="47" xr10:uidLastSave="{F1029E2B-0D8B-49A3-AD68-C65567803614}"/>
  <bookViews>
    <workbookView xWindow="-110" yWindow="-110" windowWidth="19420" windowHeight="10300" xr2:uid="{00000000-000D-0000-FFFF-FFFF00000000}"/>
  </bookViews>
  <sheets>
    <sheet name="Cover Page" sheetId="1" r:id="rId1"/>
    <sheet name="Summary By Policy Year" sheetId="2" r:id="rId2"/>
    <sheet name="Chart" sheetId="3" r:id="rId3"/>
    <sheet name="Claims Data" sheetId="4" r:id="rId4"/>
    <sheet name="Record Only" sheetId="5" r:id="rId5"/>
  </sheets>
  <calcPr calcId="0"/>
  <pivotCaches>
    <pivotCache cacheId="17" r:id="rId6"/>
  </pivotCaches>
</workbook>
</file>

<file path=xl/sharedStrings.xml><?xml version="1.0" encoding="utf-8"?>
<sst xmlns="http://schemas.openxmlformats.org/spreadsheetml/2006/main" count="1349" uniqueCount="338">
  <si>
    <t>Account Number</t>
  </si>
  <si>
    <t>1521764304</t>
  </si>
  <si>
    <t>Account Name</t>
  </si>
  <si>
    <t>Amarok LLC</t>
  </si>
  <si>
    <t>Report Run Date</t>
  </si>
  <si>
    <t>07/22/2026</t>
  </si>
  <si>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</si>
  <si>
    <t>This report contains information on all open claims; as well as closed claims limited to the current and prior six policy years.</t>
  </si>
  <si>
    <t>Policy Symbol</t>
  </si>
  <si>
    <t>(All)</t>
  </si>
  <si>
    <t>Claim Status</t>
  </si>
  <si>
    <t>Litigation Status</t>
  </si>
  <si>
    <t>Claims above 50K</t>
  </si>
  <si>
    <t>Policy Year</t>
  </si>
  <si>
    <t>Policy</t>
  </si>
  <si>
    <t>Policy Effective Date</t>
  </si>
  <si>
    <t>Account Location Identifier</t>
  </si>
  <si>
    <t>Claim Number</t>
  </si>
  <si>
    <t>Exposure</t>
  </si>
  <si>
    <t>Claimant Name</t>
  </si>
  <si>
    <t>Cause Of Loss</t>
  </si>
  <si>
    <t>Description of Loss</t>
  </si>
  <si>
    <t>$ Loss Reserve</t>
  </si>
  <si>
    <t>$ Total Paid</t>
  </si>
  <si>
    <t>$ ALAE Reserve</t>
  </si>
  <si>
    <t>$ ALAE Paid</t>
  </si>
  <si>
    <t>$ Total Incurred + ALAE</t>
  </si>
  <si>
    <t>01</t>
  </si>
  <si>
    <t>Row Labels</t>
  </si>
  <si>
    <t>Number of Claims</t>
  </si>
  <si>
    <t>Sum of Total Incurred</t>
  </si>
  <si>
    <t>Grand Total</t>
  </si>
  <si>
    <t>Customer Number</t>
  </si>
  <si>
    <t>Policy Insured Name</t>
  </si>
  <si>
    <t>Accident State</t>
  </si>
  <si>
    <t>Policy Number</t>
  </si>
  <si>
    <t>Policy MOD</t>
  </si>
  <si>
    <t>Policy Expiration Date</t>
  </si>
  <si>
    <t>Loss Date</t>
  </si>
  <si>
    <t>Date of Notice</t>
  </si>
  <si>
    <t>Lag Time</t>
  </si>
  <si>
    <t>Claim Closed Date</t>
  </si>
  <si>
    <t>Coverage</t>
  </si>
  <si>
    <t>Outstanding Loss Reserve</t>
  </si>
  <si>
    <t>Total Paid Loss Net Salvage/Subro/Loss Recovery</t>
  </si>
  <si>
    <t>Incurred w/o ALAE</t>
  </si>
  <si>
    <t>ALAE Reserve</t>
  </si>
  <si>
    <t>ALAE Paid</t>
  </si>
  <si>
    <t>Total Incurred + ALAE</t>
  </si>
  <si>
    <t>Salvage Recovery</t>
  </si>
  <si>
    <t>Subro Recovery</t>
  </si>
  <si>
    <t>Loss Recovery</t>
  </si>
  <si>
    <t>Deductible Recovery</t>
  </si>
  <si>
    <t>Expense Recovery</t>
  </si>
  <si>
    <t>Contributing Factor</t>
  </si>
  <si>
    <t>Product</t>
  </si>
  <si>
    <t>Manufacturer</t>
  </si>
  <si>
    <t>Policy Region Description</t>
  </si>
  <si>
    <t>Policy Holder Retailer Desc</t>
  </si>
  <si>
    <t>Policy Holder Claim Number</t>
  </si>
  <si>
    <t>Occupation</t>
  </si>
  <si>
    <t>Accident Day Of Week</t>
  </si>
  <si>
    <t>Insured Driver</t>
  </si>
  <si>
    <t>Total Loss Indicator</t>
  </si>
  <si>
    <t>Vehicle Year</t>
  </si>
  <si>
    <t>Vehicle Manufacturer</t>
  </si>
  <si>
    <t>Vehicle Model</t>
  </si>
  <si>
    <t>Vehicle ID Number</t>
  </si>
  <si>
    <t>Vehicle License Plate</t>
  </si>
  <si>
    <t>Vehicle License State</t>
  </si>
  <si>
    <t>Adjuster</t>
  </si>
  <si>
    <t>Claim Feature Number</t>
  </si>
  <si>
    <t>Total Incurred</t>
  </si>
  <si>
    <t>Distinct Claim Helper</t>
  </si>
  <si>
    <t>AMAROK LLC</t>
  </si>
  <si>
    <t>83-00167707</t>
  </si>
  <si>
    <t>02</t>
  </si>
  <si>
    <t>Flores, Gilbert</t>
  </si>
  <si>
    <t>550 Assembly St, Columbia, SC</t>
  </si>
  <si>
    <t>SC</t>
  </si>
  <si>
    <t>WD6</t>
  </si>
  <si>
    <t>M147769</t>
  </si>
  <si>
    <t>00</t>
  </si>
  <si>
    <t>10/01/2025</t>
  </si>
  <si>
    <t>10/01/2026</t>
  </si>
  <si>
    <t>11/04/2025</t>
  </si>
  <si>
    <t>11/06/2025</t>
  </si>
  <si>
    <t>closed</t>
  </si>
  <si>
    <t>11/21/2025</t>
  </si>
  <si>
    <t>WC Coverage -Med Only</t>
  </si>
  <si>
    <t>MP-Multiple Body Parts</t>
  </si>
  <si>
    <t>D4-Strain</t>
  </si>
  <si>
    <t>J1-Collision with another vehicle</t>
  </si>
  <si>
    <t>Unknown</t>
  </si>
  <si>
    <t>Tuesday</t>
  </si>
  <si>
    <t/>
  </si>
  <si>
    <t>FOUNTAIN, BRANDON</t>
  </si>
  <si>
    <t>WD6-M147769-00</t>
  </si>
  <si>
    <t>83-0016770702</t>
  </si>
  <si>
    <t>85-00913097</t>
  </si>
  <si>
    <t>CA</t>
  </si>
  <si>
    <t>AH6</t>
  </si>
  <si>
    <t>M147006</t>
  </si>
  <si>
    <t>02/06/2026</t>
  </si>
  <si>
    <t>open</t>
  </si>
  <si>
    <t>Collision</t>
  </si>
  <si>
    <t>Struck Other Object</t>
  </si>
  <si>
    <t>IV Struck Parked OV</t>
  </si>
  <si>
    <t>Parking Lot</t>
  </si>
  <si>
    <t>Friday</t>
  </si>
  <si>
    <t>Gavin Hendriks</t>
  </si>
  <si>
    <t>N</t>
  </si>
  <si>
    <t>Chevy</t>
  </si>
  <si>
    <t>Express</t>
  </si>
  <si>
    <t>1GCWGBFP2S1206519</t>
  </si>
  <si>
    <t>Y9948560</t>
  </si>
  <si>
    <t>GREGOIRE, DANIELLE</t>
  </si>
  <si>
    <t>AH6-M147006-00</t>
  </si>
  <si>
    <t>85-0091309701</t>
  </si>
  <si>
    <t>83-00170804</t>
  </si>
  <si>
    <t>Fleming, Patrick</t>
  </si>
  <si>
    <t>California</t>
  </si>
  <si>
    <t>01/07/2026</t>
  </si>
  <si>
    <t>01/09/2026</t>
  </si>
  <si>
    <t>F7-Multiple Trunk</t>
  </si>
  <si>
    <t>Field Technician</t>
  </si>
  <si>
    <t>Wednesday</t>
  </si>
  <si>
    <t>LOZANO, ASHLEY</t>
  </si>
  <si>
    <t>83-0017080402</t>
  </si>
  <si>
    <t>83-00167710</t>
  </si>
  <si>
    <t>Spradley, Brian</t>
  </si>
  <si>
    <t>WC Coverage - Other than Med</t>
  </si>
  <si>
    <t>83-0016771001</t>
  </si>
  <si>
    <t>83-00167709</t>
  </si>
  <si>
    <t>Lashley, Barry</t>
  </si>
  <si>
    <t>83-0016770902</t>
  </si>
  <si>
    <t>83-00167708</t>
  </si>
  <si>
    <t>Reed, Lonnie</t>
  </si>
  <si>
    <t>83-0016770801</t>
  </si>
  <si>
    <t>83-0016770901</t>
  </si>
  <si>
    <t>83-0017080401</t>
  </si>
  <si>
    <t>83-0016771002</t>
  </si>
  <si>
    <t>85-00902866</t>
  </si>
  <si>
    <t>7875 Hemlock Ave, Fontana, CA</t>
  </si>
  <si>
    <t>RZ6</t>
  </si>
  <si>
    <t>M166894</t>
  </si>
  <si>
    <t>01/16/2026</t>
  </si>
  <si>
    <t>01/20/2026</t>
  </si>
  <si>
    <t>01/28/2026</t>
  </si>
  <si>
    <t>Fire</t>
  </si>
  <si>
    <t>Electrical</t>
  </si>
  <si>
    <t>Camera Wires</t>
  </si>
  <si>
    <t>RZ6-M166894-00</t>
  </si>
  <si>
    <t>83-00175637</t>
  </si>
  <si>
    <t>Anderson, Travis</t>
  </si>
  <si>
    <t>261 The Boulevard, Columbia, SC</t>
  </si>
  <si>
    <t>03/11/2026</t>
  </si>
  <si>
    <t>03/30/2026</t>
  </si>
  <si>
    <t>04/06/2026</t>
  </si>
  <si>
    <t>H5-Knee</t>
  </si>
  <si>
    <t>L9-Strain or injury by - misc.</t>
  </si>
  <si>
    <t>Warehouse Logistics Coordinator</t>
  </si>
  <si>
    <t>GADDAM, TINEAL</t>
  </si>
  <si>
    <t>83-0017563701</t>
  </si>
  <si>
    <t>83-00173191</t>
  </si>
  <si>
    <t>Wallace, Tien</t>
  </si>
  <si>
    <t>Indiana</t>
  </si>
  <si>
    <t>IN</t>
  </si>
  <si>
    <t>02/02/2026</t>
  </si>
  <si>
    <t>02/18/2026</t>
  </si>
  <si>
    <t>F2-Chest (Ribs)</t>
  </si>
  <si>
    <t>B6-Fracture</t>
  </si>
  <si>
    <t>F2-Fall/slip - ladder</t>
  </si>
  <si>
    <t>Field Tech</t>
  </si>
  <si>
    <t>Monday</t>
  </si>
  <si>
    <t>FOWLER, JENNA</t>
  </si>
  <si>
    <t>83-0017319101</t>
  </si>
  <si>
    <t>85-00916705</t>
  </si>
  <si>
    <t>MA</t>
  </si>
  <si>
    <t>02/12/2026</t>
  </si>
  <si>
    <t>02/13/2026</t>
  </si>
  <si>
    <t>Backing Accident</t>
  </si>
  <si>
    <t>IV Struck Other Object</t>
  </si>
  <si>
    <t>Weather Related Conditions</t>
  </si>
  <si>
    <t>Thursday</t>
  </si>
  <si>
    <t>83-0017319102</t>
  </si>
  <si>
    <t>85-00916504</t>
  </si>
  <si>
    <t>NV</t>
  </si>
  <si>
    <t>10/15/2025</t>
  </si>
  <si>
    <t>Professional Liability</t>
  </si>
  <si>
    <t>Personal Injury</t>
  </si>
  <si>
    <t>85-00937525</t>
  </si>
  <si>
    <t>Sarkissian, Aram</t>
  </si>
  <si>
    <t>03/20/2026</t>
  </si>
  <si>
    <t>03/24/2026</t>
  </si>
  <si>
    <t>Liability - VehicleDamage</t>
  </si>
  <si>
    <t>Struck By Other Object</t>
  </si>
  <si>
    <t>OV Struck IV</t>
  </si>
  <si>
    <t>OV Opened Door</t>
  </si>
  <si>
    <t>MARCOS PENA</t>
  </si>
  <si>
    <t>MANCINI, MICHAEL</t>
  </si>
  <si>
    <t>85-0093752502</t>
  </si>
  <si>
    <t>85-00898010</t>
  </si>
  <si>
    <t>03/06/2026</t>
  </si>
  <si>
    <t>Intersection Accident</t>
  </si>
  <si>
    <t>IV And OV Going Straight</t>
  </si>
  <si>
    <t>OV Ran Sign/Light</t>
  </si>
  <si>
    <t>Patrick Fleming</t>
  </si>
  <si>
    <t>Y</t>
  </si>
  <si>
    <t>Chevrolet</t>
  </si>
  <si>
    <t>Express 2500</t>
  </si>
  <si>
    <t>1GCWGBFP5S1206451</t>
  </si>
  <si>
    <t>FREUND, DANIEL</t>
  </si>
  <si>
    <t>85-0089801001</t>
  </si>
  <si>
    <t>1GCWGBFPXS1199304</t>
  </si>
  <si>
    <t>82022J4</t>
  </si>
  <si>
    <t>85-0093752501</t>
  </si>
  <si>
    <t>85-00885574</t>
  </si>
  <si>
    <t>10/14/2025</t>
  </si>
  <si>
    <t>12/10/2025</t>
  </si>
  <si>
    <t>12/30/2025</t>
  </si>
  <si>
    <t>Safety Bollard</t>
  </si>
  <si>
    <t>Edgar Estrella</t>
  </si>
  <si>
    <t>GMC</t>
  </si>
  <si>
    <t>Savana</t>
  </si>
  <si>
    <t>1GTW7BFPXP1188648</t>
  </si>
  <si>
    <t>WALKER, TYSON</t>
  </si>
  <si>
    <t>85-0088557401</t>
  </si>
  <si>
    <t>83-00167711</t>
  </si>
  <si>
    <t>Lopez, Cesar</t>
  </si>
  <si>
    <t>83-0016771102</t>
  </si>
  <si>
    <t>78-00429417</t>
  </si>
  <si>
    <t>03/05/2026</t>
  </si>
  <si>
    <t>03/25/2026</t>
  </si>
  <si>
    <t>03/31/2026</t>
  </si>
  <si>
    <t>Comprehensive</t>
  </si>
  <si>
    <t>Comprehensive Auto</t>
  </si>
  <si>
    <t>Glass Breakage</t>
  </si>
  <si>
    <t>Unspecified</t>
  </si>
  <si>
    <t>CHEVROLET</t>
  </si>
  <si>
    <t>EXPRESS</t>
  </si>
  <si>
    <t>1GCWGBFP6R1269262</t>
  </si>
  <si>
    <t>CZYM20</t>
  </si>
  <si>
    <t>TEAM, GLASS/TOW</t>
  </si>
  <si>
    <t>78-0042941701</t>
  </si>
  <si>
    <t>85-00937891</t>
  </si>
  <si>
    <t>Merck Sharp and Dohme</t>
  </si>
  <si>
    <t>OR</t>
  </si>
  <si>
    <t>03/18/2026</t>
  </si>
  <si>
    <t>Passing Sideswipe Accident</t>
  </si>
  <si>
    <t>IV Sideswiped OV</t>
  </si>
  <si>
    <t>OV Parked</t>
  </si>
  <si>
    <t>Zack Swindall</t>
  </si>
  <si>
    <t>85-0093789102</t>
  </si>
  <si>
    <t>85-00918044</t>
  </si>
  <si>
    <t>Collier, Rowmeeka</t>
  </si>
  <si>
    <t>LH6</t>
  </si>
  <si>
    <t>M167160</t>
  </si>
  <si>
    <t>01/30/2026</t>
  </si>
  <si>
    <t>Premises/Operations-Advertising Personal Injury Bodily Injury</t>
  </si>
  <si>
    <t>Electrocution</t>
  </si>
  <si>
    <t>Attorney Letter</t>
  </si>
  <si>
    <t>RALPHS, BRIAN</t>
  </si>
  <si>
    <t>LH6-M167160-00</t>
  </si>
  <si>
    <t>85-0091804401</t>
  </si>
  <si>
    <t>83-00166663</t>
  </si>
  <si>
    <t>10/17/2025</t>
  </si>
  <si>
    <t>10/20/2025</t>
  </si>
  <si>
    <t>01/21/2026</t>
  </si>
  <si>
    <t>H6-Lower Leg</t>
  </si>
  <si>
    <t>field technician</t>
  </si>
  <si>
    <t>HUFFMAN, JANICE</t>
  </si>
  <si>
    <t>83-0016666301</t>
  </si>
  <si>
    <t>1GCWGBFPXS1265429</t>
  </si>
  <si>
    <t>85-0093789101</t>
  </si>
  <si>
    <t>85-00920876</t>
  </si>
  <si>
    <t>Killis, James</t>
  </si>
  <si>
    <t>IL</t>
  </si>
  <si>
    <t>12/16/2025</t>
  </si>
  <si>
    <t>02/23/2026</t>
  </si>
  <si>
    <t>85-0092087601</t>
  </si>
  <si>
    <t>83-00169838</t>
  </si>
  <si>
    <t>Carson, Jennie</t>
  </si>
  <si>
    <t>Georgia</t>
  </si>
  <si>
    <t>GA</t>
  </si>
  <si>
    <t>12/17/2025</t>
  </si>
  <si>
    <t>03/12/2026</t>
  </si>
  <si>
    <t>C4-Lacerations</t>
  </si>
  <si>
    <t>F6-Fall/slip - miscellaneous</t>
  </si>
  <si>
    <t>MUNS, MEGAN</t>
  </si>
  <si>
    <t>83-0016983801</t>
  </si>
  <si>
    <t>83-0016770802</t>
  </si>
  <si>
    <t>83-0016771101</t>
  </si>
  <si>
    <t>83-0016666302</t>
  </si>
  <si>
    <t>83-0016983802</t>
  </si>
  <si>
    <t>83-0017563702</t>
  </si>
  <si>
    <t>Termores, Dennis</t>
  </si>
  <si>
    <t>85-0091309702</t>
  </si>
  <si>
    <t>83-0016770701</t>
  </si>
  <si>
    <t>85-00939799</t>
  </si>
  <si>
    <t>Ramirez, Efrain</t>
  </si>
  <si>
    <t>03/26/2026</t>
  </si>
  <si>
    <t>Premises/Operations-Advertising Personal Injury Vehicle Damage</t>
  </si>
  <si>
    <t>Vehicle Damage</t>
  </si>
  <si>
    <t>Struck by Falling/Flying Object</t>
  </si>
  <si>
    <t>Gate</t>
  </si>
  <si>
    <t>GOLSCH, JENNIFER</t>
  </si>
  <si>
    <t>85-0093979901</t>
  </si>
  <si>
    <t>85-00864395</t>
  </si>
  <si>
    <t>American United Transportation</t>
  </si>
  <si>
    <t>NY</t>
  </si>
  <si>
    <t>10/16/2025</t>
  </si>
  <si>
    <t>10/27/2025</t>
  </si>
  <si>
    <t>Lane Change/Merge Accident</t>
  </si>
  <si>
    <t>IV Departed Lane-Hit OV</t>
  </si>
  <si>
    <t>Isiah Miller</t>
  </si>
  <si>
    <t>BLISS, AMANDA</t>
  </si>
  <si>
    <t>85-0086439501</t>
  </si>
  <si>
    <t>83-00175815</t>
  </si>
  <si>
    <t>Waters, William</t>
  </si>
  <si>
    <t>04/01/2026</t>
  </si>
  <si>
    <t>04/02/2026</t>
  </si>
  <si>
    <t>ML-All other injuries</t>
  </si>
  <si>
    <t>Q7-Other misc. causes</t>
  </si>
  <si>
    <t>BARBOZA, KERRI</t>
  </si>
  <si>
    <t>83-0017581501</t>
  </si>
  <si>
    <t>85-00886083</t>
  </si>
  <si>
    <t>Unknown, Unknown</t>
  </si>
  <si>
    <t>WA</t>
  </si>
  <si>
    <t>12/01/2025</t>
  </si>
  <si>
    <t>12/11/2025</t>
  </si>
  <si>
    <t>Struck Against Object</t>
  </si>
  <si>
    <t>85-0088608301</t>
  </si>
  <si>
    <t>83-0017581502</t>
  </si>
  <si>
    <t>85-0088608302</t>
  </si>
  <si>
    <t>Values</t>
  </si>
  <si>
    <t>(blank)</t>
  </si>
  <si>
    <t>2025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</si>
</sst>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409]d\-mmm\-yy;@"/>
    <numFmt numFmtId="165" formatCode="yyyy\-mm\-dd"/>
    <numFmt numFmtId="166" formatCode="&quot;$&quot;#,##0.00"/>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indexed="8"/>
      <name val="Calibri"/>
      <family val="2"/>
    </font>
    <font>
      <sz val="10"/>
      <color indexed="8"/>
      <name val="Verdana"/>
      <family val="2"/>
    </font>
  </fonts>
  <fills count="3">
    <fill>
      <patternFill patternType="none"/>
    </fill>
    <fill>
      <patternFill patternType="gray125"/>
    </fill>
    <fill>
      <patternFill patternType="solid">
        <fgColor theme="2" tint="-9.9978637043366805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right style="thin">
        <color rgb="FFABABAB"/>
      </right>
      <top style="thin">
        <color rgb="FFABABAB"/>
      </top>
      <bottom/>
      <diagonal/>
    </border>
    <border>
      <left style="thin">
        <color rgb="FFABABAB"/>
      </left>
      <right/>
      <top style="thin">
        <color indexed="65"/>
      </top>
      <bottom/>
      <diagonal/>
    </border>
    <border>
      <left style="thin">
        <color rgb="FFABABAB"/>
      </left>
      <right/>
      <top style="thin">
        <color rgb="FFABABAB"/>
      </top>
      <bottom style="thin">
        <color rgb="FFABABAB"/>
      </bottom>
      <diagonal/>
    </border>
    <border>
      <left style="thin">
        <color indexed="65"/>
      </left>
      <right/>
      <top style="thin">
        <color rgb="FFABABAB"/>
      </top>
      <bottom style="thin">
        <color rgb="FFABABAB"/>
      </bottom>
      <diagonal/>
    </border>
    <border>
      <left/>
      <right/>
      <top style="thin">
        <color rgb="FFABABAB"/>
      </top>
      <bottom style="thin">
        <color rgb="FFABABAB"/>
      </bottom>
      <diagonal/>
    </border>
    <border>
      <left/>
      <right style="thin">
        <color rgb="FFABABAB"/>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s>
  <cellStyleXfs count="2">
    <xf numFmtId="0" fontId="0" fillId="0" borderId="0"/>
    <xf numFmtId="44" fontId="1" fillId="0" borderId="0"/>
  </cellStyleXfs>
  <cellXfs count="37">
    <xf numFmtId="0" fontId="0" fillId="0" borderId="0" xfId="0"/>
    <xf numFmtId="0" fontId="3" fillId="0" borderId="1" xfId="0" applyFont="1" applyBorder="1" applyAlignment="1">
      <alignment horizontal="left" vertical="center"/>
    </xf>
    <xf numFmtId="49" fontId="3" fillId="0" borderId="1" xfId="0" applyNumberFormat="1" applyFont="1" applyBorder="1" applyAlignment="1">
      <alignment vertical="center"/>
    </xf>
    <xf numFmtId="22" fontId="0" fillId="0" borderId="0" xfId="0" applyNumberFormat="1"/>
    <xf numFmtId="164" fontId="4" fillId="0" borderId="0" xfId="0" applyNumberFormat="1" applyFont="1"/>
    <xf numFmtId="165" fontId="0" fillId="0" borderId="0" xfId="0" applyNumberFormat="1"/>
    <xf numFmtId="166" fontId="0" fillId="0" borderId="0" xfId="0" applyNumberFormat="1"/>
    <xf numFmtId="14" fontId="3" fillId="0" borderId="1" xfId="0" applyNumberFormat="1" applyFont="1" applyBorder="1" applyAlignment="1">
      <alignment horizontal="left" vertical="center"/>
    </xf>
    <xf numFmtId="0" fontId="0" fillId="0" borderId="0" xfId="0" pivotButton="1"/>
    <xf numFmtId="0" fontId="0" fillId="0" borderId="0" xfId="1" applyNumberFormat="1" applyFont="1"/>
    <xf numFmtId="14" fontId="0" fillId="0" borderId="0" xfId="0" applyNumberFormat="1"/>
    <xf numFmtId="0" fontId="0" fillId="0" borderId="0" xfId="0" applyAlignment="1">
      <alignment horizontal="left"/>
    </xf>
    <xf numFmtId="0" fontId="0" fillId="0" borderId="0" xfId="0"/>
    <xf numFmtId="0" fontId="0" fillId="0" borderId="2" xfId="0" applyBorder="1" applyAlignment="1">
      <alignment horizontal="left" vertical="center" wrapText="1"/>
    </xf>
    <xf numFmtId="0" fontId="0" fillId="0" borderId="3" xfId="0" applyBorder="1"/>
    <xf numFmtId="0" fontId="0" fillId="0" borderId="0" xfId="0" applyAlignment="1">
      <alignment horizontal="left"/>
    </xf>
    <xf numFmtId="0" fontId="0" fillId="0" borderId="0" xfId="0"/>
    <xf numFmtId="0" fontId="0" fillId="0" borderId="4" xfId="0" applyBorder="1"/>
    <xf numFmtId="0" fontId="0" fillId="0" borderId="5" xfId="0" applyBorder="1"/>
    <xf numFmtId="0" fontId="0" fillId="0" borderId="4" xfId="0" pivotButton="1" applyBorder="1"/>
    <xf numFmtId="0" fontId="0" fillId="0" borderId="6" xfId="0" applyBorder="1"/>
    <xf numFmtId="14" fontId="0" fillId="0" borderId="4" xfId="0" applyNumberFormat="1" applyBorder="1"/>
    <xf numFmtId="166" fontId="0" fillId="0" borderId="4" xfId="0" applyNumberFormat="1" applyBorder="1"/>
    <xf numFmtId="166" fontId="0" fillId="0" borderId="7" xfId="0" applyNumberFormat="1" applyBorder="1"/>
    <xf numFmtId="166" fontId="0" fillId="0" borderId="8" xfId="0" applyNumberFormat="1" applyBorder="1"/>
    <xf numFmtId="0" fontId="0" fillId="0" borderId="9" xfId="0" applyBorder="1"/>
    <xf numFmtId="0" fontId="0" fillId="0" borderId="10" xfId="0" applyBorder="1"/>
    <xf numFmtId="0" fontId="0" fillId="0" borderId="11" xfId="0" applyBorder="1"/>
    <xf numFmtId="166" fontId="0" fillId="0" borderId="10" xfId="0" applyNumberFormat="1" applyBorder="1"/>
    <xf numFmtId="166" fontId="0" fillId="0" borderId="12" xfId="0" applyNumberFormat="1" applyBorder="1"/>
    <xf numFmtId="166" fontId="0" fillId="0" borderId="13" xfId="0" applyNumberFormat="1" applyBorder="1"/>
    <xf numFmtId="0" fontId="0" fillId="0" borderId="14" xfId="0" pivotButton="1" applyBorder="1"/>
    <xf numFmtId="0" fontId="0" fillId="0" borderId="14" xfId="0" applyBorder="1"/>
    <xf numFmtId="0" fontId="2" fillId="2" borderId="4" xfId="0" applyFont="1" applyFill="1" applyBorder="1"/>
    <xf numFmtId="0" fontId="2" fillId="2" borderId="7" xfId="0" applyFont="1" applyFill="1" applyBorder="1"/>
    <xf numFmtId="0" fontId="2" fillId="2" borderId="8" xfId="0" applyFont="1" applyFill="1" applyBorder="1"/>
    <xf numFmtId="0" fontId="0" fillId="0" borderId="0" xfId="0" applyNumberFormat="1"/>
  </cellXfs>
  <cellStyles count="2">
    <cellStyle name="Currency" xfId="1" builtinId="4"/>
    <cellStyle name="Normal" xfId="0" builtinId="0"/>
  </cellStyles>
  <dxfs count="48">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ont>
        <b/>
      </font>
    </dxf>
    <dxf>
      <font>
        <b/>
      </font>
    </dxf>
    <dxf>
      <font>
        <b/>
      </font>
    </dxf>
    <dxf>
      <font>
        <b/>
      </font>
    </dxf>
    <dxf>
      <font>
        <b/>
      </font>
    </dxf>
    <dxf>
      <font>
        <b/>
      </font>
    </dxf>
    <dxf>
      <font>
        <b/>
      </font>
    </dxf>
    <dxf>
      <font>
        <b/>
      </font>
    </dxf>
    <dxf>
      <font>
        <b/>
      </font>
    </dxf>
    <dxf>
      <font>
        <b/>
      </font>
      <fill>
        <patternFill patternType="solid">
          <fgColor indexed="64"/>
          <bgColor theme="2" tint="-9.9978637043366805E-2"/>
        </patternFill>
      </fill>
    </dxf>
    <dxf>
      <font>
        <b/>
      </font>
      <fill>
        <patternFill patternType="solid">
          <fgColor indexed="64"/>
          <bgColor theme="2" tint="-9.9978637043366805E-2"/>
        </patternFill>
      </fill>
    </dxf>
    <dxf>
      <font>
        <b/>
      </font>
      <fill>
        <patternFill patternType="solid">
          <fgColor indexed="64"/>
          <bgColor theme="2" tint="-9.9978637043366805E-2"/>
        </patternFill>
      </fill>
    </dxf>
    <dxf>
      <font>
        <b/>
      </font>
      <fill>
        <patternFill patternType="solid">
          <fgColor indexed="64"/>
          <bgColor theme="2" tint="-9.9978637043366805E-2"/>
        </patternFill>
      </fill>
    </dxf>
    <dxf>
      <numFmt numFmtId="0" formatCode="General"/>
    </dxf>
    <dxf>
      <numFmt numFmtId="0" formatCode="General"/>
    </dxf>
    <dxf>
      <numFmt numFmtId="0" formatCode="General"/>
    </dxf>
    <dxf>
      <numFmt numFmtId="0" formatCode="General"/>
    </dxf>
    <dxf>
      <font>
        <b/>
      </font>
      <fill>
        <patternFill patternType="solid">
          <fgColor indexed="64"/>
          <bgColor theme="2" tint="-9.9978637043366805E-2"/>
        </patternFill>
      </fill>
    </dxf>
    <dxf>
      <font>
        <b/>
      </font>
      <fill>
        <patternFill patternType="solid">
          <fgColor indexed="64"/>
          <bgColor theme="2" tint="-9.9978637043366805E-2"/>
        </patternFill>
      </fill>
    </dxf>
    <dxf>
      <font>
        <b/>
      </font>
      <fill>
        <patternFill patternType="solid">
          <fgColor indexed="64"/>
          <bgColor theme="2" tint="-9.9978637043366805E-2"/>
        </patternFill>
      </fill>
    </dxf>
    <dxf>
      <font>
        <b/>
      </font>
      <fill>
        <patternFill patternType="solid">
          <fgColor indexed="64"/>
          <bgColor theme="2" tint="-9.9978637043366805E-2"/>
        </patternFill>
      </fill>
    </dxf>
    <dxf>
      <font>
        <b/>
      </font>
    </dxf>
    <dxf>
      <font>
        <b/>
      </font>
    </dxf>
    <dxf>
      <font>
        <b/>
      </font>
    </dxf>
    <dxf>
      <font>
        <b/>
      </font>
    </dxf>
    <dxf>
      <font>
        <b/>
      </font>
    </dxf>
    <dxf>
      <font>
        <b/>
      </font>
    </dxf>
    <dxf>
      <font>
        <b/>
      </font>
    </dxf>
    <dxf>
      <font>
        <b/>
      </font>
    </dxf>
    <dxf>
      <font>
        <b/>
      </font>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[Amarok LLC_2026_07_22.xlsx]Chart!PivotTable7</c:name>
    <c:fmtId val="0"/>
  </c:pivotSource>
  <c:chart>
    <c:autoTitleDeleted val="1"/>
    <c:pivotFmts>
      <c:pivotFmt>
        <c:idx val="0"/>
        <c:spPr>
          <a:solidFill>
            <a:schemeClr val="accent1"/>
          </a:solidFill>
          <a:ln>
            <a:noFill/>
            <a:prstDash val="solid"/>
          </a:ln>
        </c:spPr>
        <c:marker>
          <c:symbol val="none"/>
        </c:marker>
        <c:dLbl>
          <c:idx val="0"/>
          <c:spPr>
            <a:solidFill>
              <a:schemeClr val="bg1"/>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prstDash val="solid"/>
            <a:round/>
          </a:ln>
        </c:spPr>
        <c:marker>
          <c:symbol val="none"/>
        </c:marker>
        <c:dLbl>
          <c:idx val="0"/>
          <c:spPr>
            <a:solidFill>
              <a:schemeClr val="accent2"/>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spPr>
            <a:solidFill>
              <a:schemeClr val="accent2"/>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barChart>
        <c:barDir val="col"/>
        <c:grouping val="clustered"/>
        <c:varyColors val="0"/>
        <c:ser>
          <c:idx val="0"/>
          <c:order val="0"/>
          <c:tx>
            <c:strRef>
              <c:f>Chart!$B$1:$B$2</c:f>
              <c:strCache>
                <c:ptCount val="1"/>
                <c:pt idx="0">
                  <c:v>Number of Claims</c:v>
                </c:pt>
              </c:strCache>
            </c:strRef>
          </c:tx>
          <c:spPr>
            <a:solidFill>
              <a:schemeClr val="accent1"/>
            </a:solidFill>
            <a:ln>
              <a:noFill/>
              <a:prstDash val="solid"/>
            </a:ln>
          </c:spPr>
          <c:invertIfNegative val="0"/>
          <c:dLbls>
            <c:spPr>
              <a:solidFill>
                <a:schemeClr val="bg1"/>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Chart!$A$3:$A$4</c:f>
              <c:strCache>
                <c:ptCount val="1"/>
                <c:pt idx="0">
                  <c:v>2025</c:v>
                </c:pt>
              </c:strCache>
            </c:strRef>
          </c:cat>
          <c:val>
            <c:numRef>
              <c:f>Chart!$B$3:$B$4</c:f>
              <c:numCache>
                <c:formatCode>General</c:formatCode>
                <c:ptCount val="1"/>
                <c:pt idx="0">
                  <c:v>23</c:v>
                </c:pt>
              </c:numCache>
            </c:numRef>
          </c:val>
          <c:extLst>
            <c:ext xmlns:c16="http://schemas.microsoft.com/office/drawing/2014/chart" uri="{C3380CC4-5D6E-409C-BE32-E72D297353CC}">
              <c16:uniqueId val="{00000000-9315-43D7-B729-74AAC12019B9}"/>
            </c:ext>
          </c:extLst>
        </c:ser>
        <c:dLbls>
          <c:dLblPos val="ctr"/>
          <c:showLegendKey val="0"/>
          <c:showVal val="1"/>
          <c:showCatName val="0"/>
          <c:showSerName val="0"/>
          <c:showPercent val="0"/>
          <c:showBubbleSize val="0"/>
        </c:dLbls>
        <c:gapWidth val="219"/>
        <c:overlap val="-27"/>
        <c:axId val="2104105008"/>
        <c:axId val="2104106448"/>
      </c:barChart>
      <c:lineChart>
        <c:grouping val="standard"/>
        <c:varyColors val="0"/>
        <c:ser>
          <c:idx val="1"/>
          <c:order val="1"/>
          <c:tx>
            <c:strRef>
              <c:f>Chart!$C$1:$C$2</c:f>
              <c:strCache>
                <c:ptCount val="1"/>
                <c:pt idx="0">
                  <c:v>Sum of Total Incurred</c:v>
                </c:pt>
              </c:strCache>
            </c:strRef>
          </c:tx>
          <c:spPr>
            <a:ln w="28575" cap="rnd">
              <a:solidFill>
                <a:schemeClr val="accent2"/>
              </a:solidFill>
              <a:prstDash val="solid"/>
              <a:round/>
            </a:ln>
          </c:spPr>
          <c:marker>
            <c:symbol val="none"/>
          </c:marker>
          <c:dLbls>
            <c:spPr>
              <a:solidFill>
                <a:schemeClr val="accent2"/>
              </a:solid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Chart!$A$3:$A$4</c:f>
              <c:strCache>
                <c:ptCount val="1"/>
                <c:pt idx="0">
                  <c:v>2025</c:v>
                </c:pt>
              </c:strCache>
            </c:strRef>
          </c:cat>
          <c:val>
            <c:numRef>
              <c:f>Chart!$C$3:$C$4</c:f>
              <c:numCache>
                <c:formatCode>"$"#,##0.00</c:formatCode>
                <c:ptCount val="1"/>
                <c:pt idx="0">
                  <c:v>92867.669999999969</c:v>
                </c:pt>
              </c:numCache>
            </c:numRef>
          </c:val>
          <c:smooth val="0"/>
          <c:extLst>
            <c:ext xmlns:c16="http://schemas.microsoft.com/office/drawing/2014/chart" uri="{C3380CC4-5D6E-409C-BE32-E72D297353CC}">
              <c16:uniqueId val="{00000001-9315-43D7-B729-74AAC12019B9}"/>
            </c:ext>
          </c:extLst>
        </c:ser>
        <c:dLbls>
          <c:dLblPos val="ctr"/>
          <c:showLegendKey val="0"/>
          <c:showVal val="1"/>
          <c:showCatName val="0"/>
          <c:showSerName val="0"/>
          <c:showPercent val="0"/>
          <c:showBubbleSize val="0"/>
        </c:dLbls>
        <c:marker val="1"/>
        <c:smooth val="0"/>
        <c:axId val="2104088208"/>
        <c:axId val="2104085808"/>
      </c:lineChart>
      <c:catAx>
        <c:axId val="210410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104106448"/>
        <c:crosses val="autoZero"/>
        <c:auto val="1"/>
        <c:lblAlgn val="ctr"/>
        <c:lblOffset val="100"/>
        <c:noMultiLvlLbl val="0"/>
      </c:catAx>
      <c:valAx>
        <c:axId val="2104106448"/>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104105008"/>
        <c:crosses val="autoZero"/>
        <c:crossBetween val="between"/>
      </c:valAx>
      <c:catAx>
        <c:axId val="2104088208"/>
        <c:scaling>
          <c:orientation val="minMax"/>
        </c:scaling>
        <c:delete val="1"/>
        <c:axPos val="b"/>
        <c:numFmt formatCode="General" sourceLinked="1"/>
        <c:majorTickMark val="out"/>
        <c:minorTickMark val="none"/>
        <c:tickLblPos val="nextTo"/>
        <c:crossAx val="2104085808"/>
        <c:crosses val="autoZero"/>
        <c:auto val="1"/>
        <c:lblAlgn val="ctr"/>
        <c:lblOffset val="100"/>
        <c:noMultiLvlLbl val="0"/>
      </c:catAx>
      <c:valAx>
        <c:axId val="2104085808"/>
        <c:scaling>
          <c:orientation val="minMax"/>
        </c:scaling>
        <c:delete val="0"/>
        <c:axPos val="r"/>
        <c:numFmt formatCode="&quot;$&quot;#,##0.00"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2104088208"/>
        <c:crosses val="max"/>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562926</xdr:colOff>
      <xdr:row>6</xdr:row>
      <xdr:rowOff>76199</xdr:rowOff>
    </xdr:from>
    <xdr:to>
      <xdr:col>20</xdr:col>
      <xdr:colOff>342899</xdr:colOff>
      <xdr:row>27</xdr:row>
      <xdr:rowOff>19049</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BHANDARI, SHUBHAM" refreshedDate="46225.598185648145" createdVersion="8" refreshedVersion="8" minRefreshableVersion="3" recordCount="36" xr:uid="{00000000-000A-0000-FFFF-FFFF11000000}">
  <cacheSource type="worksheet">
    <worksheetSource name="ClaimsData"/>
  </cacheSource>
  <cacheFields count="55">
    <cacheField name="Customer Number" numFmtId="0">
      <sharedItems/>
    </cacheField>
    <cacheField name="Policy Insured Name" numFmtId="0">
      <sharedItems/>
    </cacheField>
    <cacheField name="Claim Number" numFmtId="0">
      <sharedItems count="26">
        <s v="83-00167707"/>
        <s v="85-00913097"/>
        <s v="83-00170804"/>
        <s v="83-00167710"/>
        <s v="83-00167709"/>
        <s v="83-00167708"/>
        <s v="85-00902866"/>
        <s v="83-00175637"/>
        <s v="83-00173191"/>
        <s v="85-00916705"/>
        <s v="85-00916504"/>
        <s v="85-00937525"/>
        <s v="85-00898010"/>
        <s v="85-00885574"/>
        <s v="83-00167711"/>
        <s v="78-00429417"/>
        <s v="85-00937891"/>
        <s v="85-00918044"/>
        <s v="83-00166663"/>
        <s v="85-00920876"/>
        <s v="83-00169838"/>
        <s v="85-00939799"/>
        <s v="85-00864395"/>
        <s v="00-01010101" u="1"/>
        <s v="00-01010100" u="1"/>
        <s v="00-01010102" u="1"/>
      </sharedItems>
    </cacheField>
    <cacheField name="Exposure" numFmtId="0">
      <sharedItems containsBlank="1" count="3">
        <s v="02"/>
        <s v="01"/>
        <m/>
      </sharedItems>
    </cacheField>
    <cacheField name="Claimant Name" numFmtId="0">
      <sharedItems containsBlank="1" count="19">
        <s v="Flores, Gilbert"/>
        <s v="AMAROK LLC"/>
        <s v="Fleming, Patrick"/>
        <s v="Spradley, Brian"/>
        <s v="Lashley, Barry"/>
        <s v="Reed, Lonnie"/>
        <m/>
        <s v="Anderson, Travis"/>
        <s v="Wallace, Tien"/>
        <s v="Sarkissian, Aram"/>
        <s v="Lopez, Cesar"/>
        <s v="Merck Sharp and Dohme"/>
        <s v="Collier, Rowmeeka"/>
        <s v="Killis, James"/>
        <s v="Carson, Jennie"/>
        <s v="Termores, Dennis"/>
        <s v="Ramirez, Efrain"/>
        <s v="American United Transportation"/>
        <s v="TEST" u="1"/>
      </sharedItems>
    </cacheField>
    <cacheField name="Account Location Identifier" numFmtId="0">
      <sharedItems containsBlank="1" count="8">
        <s v="550 Assembly St, Columbia, SC"/>
        <m/>
        <s v="California"/>
        <s v="7875 Hemlock Ave, Fontana, CA"/>
        <s v="261 The Boulevard, Columbia, SC"/>
        <s v="Indiana"/>
        <s v="Georgia"/>
        <s v="TEST" u="1"/>
      </sharedItems>
    </cacheField>
    <cacheField name="Accident State" numFmtId="0">
      <sharedItems/>
    </cacheField>
    <cacheField name="Policy Symbol" numFmtId="0">
      <sharedItems count="5">
        <s v="WD6"/>
        <s v="AH6"/>
        <s v="RZ6"/>
        <s v="LH6"/>
        <s v="ABC" u="1"/>
      </sharedItems>
    </cacheField>
    <cacheField name="Policy Number" numFmtId="0">
      <sharedItems/>
    </cacheField>
    <cacheField name="Policy MOD" numFmtId="0">
      <sharedItems/>
    </cacheField>
    <cacheField name="Policy Effective Date" numFmtId="0">
      <sharedItems containsDate="1" containsMixedTypes="1" minDate="2001-01-01T00:00:00" maxDate="2020-01-02T00:00:00" count="3">
        <s v="10/01/2025"/>
        <d v="2020-01-01T00:00:00" u="1"/>
        <d v="2001-01-01T00:00:00" u="1"/>
      </sharedItems>
    </cacheField>
    <cacheField name="Policy Expiration Date" numFmtId="0">
      <sharedItems/>
    </cacheField>
    <cacheField name="Loss Date" numFmtId="0">
      <sharedItems/>
    </cacheField>
    <cacheField name="Date of Notice" numFmtId="0">
      <sharedItems/>
    </cacheField>
    <cacheField name="Lag Time" numFmtId="0">
      <sharedItems containsSemiMixedTypes="0" containsString="0" containsNumber="1" containsInteger="1" minValue="0" maxValue="121"/>
    </cacheField>
    <cacheField name="Claim Status" numFmtId="0">
      <sharedItems count="3">
        <s v="closed"/>
        <s v="open"/>
        <s v="TEST" u="1"/>
      </sharedItems>
    </cacheField>
    <cacheField name="Claim Closed Date" numFmtId="0">
      <sharedItems containsBlank="1"/>
    </cacheField>
    <cacheField name="Coverage" numFmtId="0">
      <sharedItems containsBlank="1"/>
    </cacheField>
    <cacheField name="Outstanding Loss Reserve" numFmtId="0">
      <sharedItems containsSemiMixedTypes="0" containsString="0" containsNumber="1" minValue="0" maxValue="25000"/>
    </cacheField>
    <cacheField name="Total Paid Loss Net Salvage/Subro/Loss Recovery" numFmtId="0">
      <sharedItems containsSemiMixedTypes="0" containsString="0" containsNumber="1" minValue="0" maxValue="10385.969999999999"/>
    </cacheField>
    <cacheField name="Incurred w/o ALAE" numFmtId="0">
      <sharedItems containsSemiMixedTypes="0" containsString="0" containsNumber="1" minValue="0" maxValue="25000"/>
    </cacheField>
    <cacheField name="ALAE Reserve" numFmtId="0">
      <sharedItems containsSemiMixedTypes="0" containsString="0" containsNumber="1" minValue="0" maxValue="6244.07"/>
    </cacheField>
    <cacheField name="ALAE Paid" numFmtId="0">
      <sharedItems containsSemiMixedTypes="0" containsString="0" containsNumber="1" minValue="0" maxValue="1755.93"/>
    </cacheField>
    <cacheField name="Total Incurred + ALAE" numFmtId="0">
      <sharedItems containsSemiMixedTypes="0" containsString="0" containsNumber="1" minValue="0" maxValue="30000"/>
    </cacheField>
    <cacheField name="Salvage Recovery" numFmtId="0">
      <sharedItems containsSemiMixedTypes="0" containsString="0" containsNumber="1" minValue="-10123.1" maxValue="0"/>
    </cacheField>
    <cacheField name="Subro Recovery" numFmtId="0">
      <sharedItems containsSemiMixedTypes="0" containsString="0" containsNumber="1" minValue="-27675.5" maxValue="0"/>
    </cacheField>
    <cacheField name="Loss Recovery" numFmtId="0">
      <sharedItems containsSemiMixedTypes="0" containsString="0" containsNumber="1" minValue="-18369.169999999998" maxValue="0"/>
    </cacheField>
    <cacheField name="Deductible Recovery" numFmtId="0">
      <sharedItems containsSemiMixedTypes="0" containsString="0" containsNumber="1" containsInteger="1" minValue="0" maxValue="0"/>
    </cacheField>
    <cacheField name="Expense Recovery" numFmtId="0">
      <sharedItems containsSemiMixedTypes="0" containsString="0" containsNumber="1" containsInteger="1" minValue="-30" maxValue="0"/>
    </cacheField>
    <cacheField name="Litigation Status" numFmtId="0">
      <sharedItems containsNonDate="0" containsBlank="1" count="2">
        <m/>
        <s v="TEST" u="1"/>
      </sharedItems>
    </cacheField>
    <cacheField name="Cause Of Loss" numFmtId="0">
      <sharedItems count="16">
        <s v="MP-Multiple Body Parts"/>
        <s v="Struck Other Object"/>
        <s v="F7-Multiple Trunk"/>
        <s v="Fire"/>
        <s v="H5-Knee"/>
        <s v="F2-Chest (Ribs)"/>
        <s v="Backing Accident"/>
        <s v="Professional Liability"/>
        <s v="Struck By Other Object"/>
        <s v="Intersection Accident"/>
        <s v="Comprehensive Auto"/>
        <s v="Passing Sideswipe Accident"/>
        <s v="H6-Lower Leg"/>
        <s v="Vehicle Damage"/>
        <s v="Lane Change/Merge Accident"/>
        <s v="TEST" u="1"/>
      </sharedItems>
    </cacheField>
    <cacheField name="Description of Loss" numFmtId="0">
      <sharedItems count="14">
        <s v="D4-Strain"/>
        <s v="IV Struck Parked OV"/>
        <s v="Electrical"/>
        <s v="B6-Fracture"/>
        <s v="IV Struck Other Object"/>
        <s v="OV Struck IV"/>
        <s v="IV And OV Going Straight"/>
        <s v="Glass Breakage"/>
        <s v="IV Sideswiped OV"/>
        <s v="Electrocution"/>
        <s v="C4-Lacerations"/>
        <s v="Struck by Falling/Flying Object"/>
        <s v="IV Departed Lane-Hit OV"/>
        <s v="TEST" u="1"/>
      </sharedItems>
    </cacheField>
    <cacheField name="Contributing Factor" numFmtId="0">
      <sharedItems count="16">
        <s v="J1-Collision with another vehicle"/>
        <s v="Parking Lot"/>
        <s v="Camera Wires"/>
        <s v="L9-Strain or injury by - misc."/>
        <s v="F2-Fall/slip - ladder"/>
        <s v="Weather Related Conditions"/>
        <s v="Personal Injury"/>
        <s v="OV Opened Door"/>
        <s v="OV Ran Sign/Light"/>
        <s v="Safety Bollard"/>
        <s v="Unspecified"/>
        <s v="OV Parked"/>
        <s v="Attorney Letter"/>
        <s v="F6-Fall/slip - miscellaneous"/>
        <s v="Gate"/>
        <s v="TEST" u="1"/>
      </sharedItems>
    </cacheField>
    <cacheField name="Product" numFmtId="0">
      <sharedItems containsNonDate="0" containsString="0" containsBlank="1"/>
    </cacheField>
    <cacheField name="Manufacturer" numFmtId="0">
      <sharedItems containsNonDate="0" containsString="0" containsBlank="1"/>
    </cacheField>
    <cacheField name="Policy Region Description" numFmtId="0">
      <sharedItems containsNonDate="0" containsString="0" containsBlank="1"/>
    </cacheField>
    <cacheField name="Policy Holder Retailer Desc" numFmtId="0">
      <sharedItems containsNonDate="0" containsString="0" containsBlank="1"/>
    </cacheField>
    <cacheField name="Policy Holder Claim Number" numFmtId="0">
      <sharedItems containsNonDate="0" containsString="0" containsBlank="1"/>
    </cacheField>
    <cacheField name="Occupation" numFmtId="0">
      <sharedItems/>
    </cacheField>
    <cacheField name="Accident Day Of Week" numFmtId="0">
      <sharedItems/>
    </cacheField>
    <cacheField name="Insured Driver" numFmtId="0">
      <sharedItems/>
    </cacheField>
    <cacheField name="Total Loss Indicator" numFmtId="0">
      <sharedItems containsBlank="1"/>
    </cacheField>
    <cacheField name="Vehicle Year" numFmtId="0">
      <sharedItems containsString="0" containsBlank="1" containsNumber="1" containsInteger="1" minValue="2023" maxValue="2025"/>
    </cacheField>
    <cacheField name="Vehicle Manufacturer" numFmtId="0">
      <sharedItems containsBlank="1"/>
    </cacheField>
    <cacheField name="Vehicle Model" numFmtId="0">
      <sharedItems containsBlank="1"/>
    </cacheField>
    <cacheField name="Vehicle ID Number" numFmtId="0">
      <sharedItems containsBlank="1"/>
    </cacheField>
    <cacheField name="Vehicle License Plate" numFmtId="0">
      <sharedItems containsBlank="1"/>
    </cacheField>
    <cacheField name="Vehicle License State" numFmtId="0">
      <sharedItems containsBlank="1"/>
    </cacheField>
    <cacheField name="Adjuster" numFmtId="0">
      <sharedItems containsBlank="1"/>
    </cacheField>
    <cacheField name="Policy" numFmtId="0">
      <sharedItems count="5">
        <s v="WD6-M147769-00"/>
        <s v="AH6-M147006-00"/>
        <s v="RZ6-M166894-00"/>
        <s v="LH6-M167160-00"/>
        <s v="TEST" u="1"/>
      </sharedItems>
    </cacheField>
    <cacheField name="Policy Year" numFmtId="0">
      <sharedItems containsSemiMixedTypes="0" containsString="0" containsNumber="1" containsInteger="1" minValue="2001" maxValue="2025" count="3">
        <n v="2025"/>
        <n v="2020" u="1"/>
        <n v="2001" u="1"/>
      </sharedItems>
    </cacheField>
    <cacheField name="Claims above 50K" numFmtId="0">
      <sharedItems containsSemiMixedTypes="0" containsString="0" containsNumber="1" containsInteger="1" minValue="0" maxValue="0" count="1">
        <n v="0"/>
      </sharedItems>
    </cacheField>
    <cacheField name="Claim Feature Number" numFmtId="0">
      <sharedItems/>
    </cacheField>
    <cacheField name="Total Incurred" numFmtId="0">
      <sharedItems containsSemiMixedTypes="0" containsString="0" containsNumber="1" minValue="0" maxValue="25000"/>
    </cacheField>
    <cacheField name="Distinct Claim Helper"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s v="1521764304"/>
    <s v="AMAROK LLC"/>
    <x v="0"/>
    <x v="0"/>
    <x v="0"/>
    <x v="0"/>
    <s v="SC"/>
    <x v="0"/>
    <s v="M147769"/>
    <s v="00"/>
    <x v="0"/>
    <s v="10/01/2026"/>
    <s v="11/04/2025"/>
    <s v="11/06/2025"/>
    <n v="2"/>
    <x v="0"/>
    <s v="11/21/2025"/>
    <s v="WC Coverage -Med Only"/>
    <n v="0"/>
    <n v="540.64"/>
    <n v="540.64"/>
    <n v="0"/>
    <n v="16.75"/>
    <n v="557.39"/>
    <n v="0"/>
    <n v="0"/>
    <n v="0"/>
    <n v="0"/>
    <n v="0"/>
    <x v="0"/>
    <x v="0"/>
    <x v="0"/>
    <x v="0"/>
    <m/>
    <m/>
    <m/>
    <m/>
    <m/>
    <s v="Unknown"/>
    <s v="Tuesday"/>
    <s v=""/>
    <m/>
    <m/>
    <m/>
    <m/>
    <m/>
    <m/>
    <m/>
    <s v="FOUNTAIN, BRANDON"/>
    <x v="0"/>
    <x v="0"/>
    <x v="0"/>
    <s v="83-0016770702"/>
    <n v="540.64"/>
    <n v="1"/>
  </r>
  <r>
    <s v="1521764304"/>
    <s v="AMAROK LLC"/>
    <x v="1"/>
    <x v="1"/>
    <x v="1"/>
    <x v="1"/>
    <s v="CA"/>
    <x v="1"/>
    <s v="M147006"/>
    <s v="00"/>
    <x v="0"/>
    <s v="10/01/2026"/>
    <s v="02/06/2026"/>
    <s v="02/06/2026"/>
    <n v="0"/>
    <x v="1"/>
    <m/>
    <s v="Collision"/>
    <n v="0"/>
    <n v="0"/>
    <n v="0"/>
    <n v="0"/>
    <n v="0"/>
    <n v="0"/>
    <n v="0"/>
    <n v="0"/>
    <n v="0"/>
    <n v="0"/>
    <n v="0"/>
    <x v="0"/>
    <x v="1"/>
    <x v="1"/>
    <x v="1"/>
    <m/>
    <m/>
    <m/>
    <m/>
    <m/>
    <s v=""/>
    <s v="Friday"/>
    <s v="Gavin Hendriks"/>
    <s v="N"/>
    <n v="2025"/>
    <s v="Chevy"/>
    <s v="Express"/>
    <s v="1GCWGBFP2S1206519"/>
    <s v="Y9948560"/>
    <s v="CA"/>
    <s v="GREGOIRE, DANIELLE"/>
    <x v="1"/>
    <x v="0"/>
    <x v="0"/>
    <s v="85-0091309701"/>
    <n v="0"/>
    <n v="1"/>
  </r>
  <r>
    <s v="1521764304"/>
    <s v="AMAROK LLC"/>
    <x v="2"/>
    <x v="0"/>
    <x v="2"/>
    <x v="2"/>
    <s v="CA"/>
    <x v="0"/>
    <s v="M147769"/>
    <s v="00"/>
    <x v="0"/>
    <s v="10/01/2026"/>
    <s v="01/07/2026"/>
    <s v="01/09/2026"/>
    <n v="2"/>
    <x v="1"/>
    <m/>
    <s v="WC Coverage -Med Only"/>
    <n v="3987.81"/>
    <n v="9764.7099999999991"/>
    <n v="13752.52"/>
    <n v="0"/>
    <n v="1136.33"/>
    <n v="14888.85"/>
    <n v="0"/>
    <n v="0"/>
    <n v="-9.41"/>
    <n v="0"/>
    <n v="0"/>
    <x v="0"/>
    <x v="2"/>
    <x v="0"/>
    <x v="0"/>
    <m/>
    <m/>
    <m/>
    <m/>
    <m/>
    <s v="Field Technician"/>
    <s v="Wednesday"/>
    <s v=""/>
    <m/>
    <m/>
    <m/>
    <m/>
    <m/>
    <m/>
    <m/>
    <s v="LOZANO, ASHLEY"/>
    <x v="0"/>
    <x v="0"/>
    <x v="0"/>
    <s v="83-0017080402"/>
    <n v="13752.52"/>
    <n v="1"/>
  </r>
  <r>
    <s v="1521764304"/>
    <s v="AMAROK LLC"/>
    <x v="3"/>
    <x v="1"/>
    <x v="3"/>
    <x v="0"/>
    <s v="SC"/>
    <x v="0"/>
    <s v="M147769"/>
    <s v="00"/>
    <x v="0"/>
    <s v="10/01/2026"/>
    <s v="11/04/2025"/>
    <s v="11/06/2025"/>
    <n v="2"/>
    <x v="0"/>
    <s v="11/21/2025"/>
    <s v="WC Coverage - Other than Med"/>
    <n v="0"/>
    <n v="0"/>
    <n v="0"/>
    <n v="0"/>
    <n v="0"/>
    <n v="0"/>
    <n v="0"/>
    <n v="0"/>
    <n v="0"/>
    <n v="0"/>
    <n v="0"/>
    <x v="0"/>
    <x v="0"/>
    <x v="0"/>
    <x v="0"/>
    <m/>
    <m/>
    <m/>
    <m/>
    <m/>
    <s v="Unknown"/>
    <s v="Tuesday"/>
    <s v=""/>
    <m/>
    <m/>
    <m/>
    <m/>
    <m/>
    <m/>
    <m/>
    <s v="FOUNTAIN, BRANDON"/>
    <x v="0"/>
    <x v="0"/>
    <x v="0"/>
    <s v="83-0016771001"/>
    <n v="0"/>
    <n v="1"/>
  </r>
  <r>
    <s v="1521764304"/>
    <s v="AMAROK LLC"/>
    <x v="4"/>
    <x v="0"/>
    <x v="4"/>
    <x v="0"/>
    <s v="SC"/>
    <x v="0"/>
    <s v="M147769"/>
    <s v="00"/>
    <x v="0"/>
    <s v="10/01/2026"/>
    <s v="11/04/2025"/>
    <s v="11/06/2025"/>
    <n v="2"/>
    <x v="0"/>
    <s v="11/21/2025"/>
    <s v="WC Coverage -Med Only"/>
    <n v="0"/>
    <n v="893.3"/>
    <n v="893.3"/>
    <n v="0"/>
    <n v="23.25"/>
    <n v="916.55"/>
    <n v="0"/>
    <n v="0"/>
    <n v="0"/>
    <n v="0"/>
    <n v="0"/>
    <x v="0"/>
    <x v="0"/>
    <x v="0"/>
    <x v="0"/>
    <m/>
    <m/>
    <m/>
    <m/>
    <m/>
    <s v="Unknown"/>
    <s v="Tuesday"/>
    <s v=""/>
    <m/>
    <m/>
    <m/>
    <m/>
    <m/>
    <m/>
    <m/>
    <s v="FOUNTAIN, BRANDON"/>
    <x v="0"/>
    <x v="0"/>
    <x v="0"/>
    <s v="83-0016770902"/>
    <n v="893.3"/>
    <n v="1"/>
  </r>
  <r>
    <s v="1521764304"/>
    <s v="AMAROK LLC"/>
    <x v="5"/>
    <x v="1"/>
    <x v="5"/>
    <x v="0"/>
    <s v="SC"/>
    <x v="0"/>
    <s v="M147769"/>
    <s v="00"/>
    <x v="0"/>
    <s v="10/01/2026"/>
    <s v="11/04/2025"/>
    <s v="11/06/2025"/>
    <n v="2"/>
    <x v="0"/>
    <s v="11/21/2025"/>
    <s v="WC Coverage - Other than Med"/>
    <n v="0"/>
    <n v="0"/>
    <n v="0"/>
    <n v="0"/>
    <n v="0"/>
    <n v="0"/>
    <n v="0"/>
    <n v="0"/>
    <n v="0"/>
    <n v="0"/>
    <n v="0"/>
    <x v="0"/>
    <x v="0"/>
    <x v="0"/>
    <x v="0"/>
    <m/>
    <m/>
    <m/>
    <m/>
    <m/>
    <s v="Unknown"/>
    <s v="Tuesday"/>
    <s v=""/>
    <m/>
    <m/>
    <m/>
    <m/>
    <m/>
    <m/>
    <m/>
    <s v="FOUNTAIN, BRANDON"/>
    <x v="0"/>
    <x v="0"/>
    <x v="0"/>
    <s v="83-0016770801"/>
    <n v="0"/>
    <n v="1"/>
  </r>
  <r>
    <s v="1521764304"/>
    <s v="AMAROK LLC"/>
    <x v="4"/>
    <x v="1"/>
    <x v="4"/>
    <x v="0"/>
    <s v="SC"/>
    <x v="0"/>
    <s v="M147769"/>
    <s v="00"/>
    <x v="0"/>
    <s v="10/01/2026"/>
    <s v="11/04/2025"/>
    <s v="11/06/2025"/>
    <n v="2"/>
    <x v="0"/>
    <s v="11/21/2025"/>
    <s v="WC Coverage - Other than Med"/>
    <n v="0"/>
    <n v="0"/>
    <n v="0"/>
    <n v="0"/>
    <n v="0"/>
    <n v="0"/>
    <n v="0"/>
    <n v="0"/>
    <n v="0"/>
    <n v="0"/>
    <n v="0"/>
    <x v="0"/>
    <x v="0"/>
    <x v="0"/>
    <x v="0"/>
    <m/>
    <m/>
    <m/>
    <m/>
    <m/>
    <s v="Unknown"/>
    <s v="Tuesday"/>
    <s v=""/>
    <m/>
    <m/>
    <m/>
    <m/>
    <m/>
    <m/>
    <m/>
    <s v="FOUNTAIN, BRANDON"/>
    <x v="0"/>
    <x v="0"/>
    <x v="0"/>
    <s v="83-0016770901"/>
    <n v="0"/>
    <n v="0"/>
  </r>
  <r>
    <s v="1521764304"/>
    <s v="AMAROK LLC"/>
    <x v="2"/>
    <x v="1"/>
    <x v="2"/>
    <x v="2"/>
    <s v="CA"/>
    <x v="0"/>
    <s v="M147769"/>
    <s v="00"/>
    <x v="0"/>
    <s v="10/01/2026"/>
    <s v="01/07/2026"/>
    <s v="01/09/2026"/>
    <n v="2"/>
    <x v="1"/>
    <m/>
    <s v="WC Coverage - Other than Med"/>
    <n v="6731.39"/>
    <n v="8268.61"/>
    <n v="15000"/>
    <n v="6244.07"/>
    <n v="1755.93"/>
    <n v="23000"/>
    <n v="0"/>
    <n v="0"/>
    <n v="0"/>
    <n v="0"/>
    <n v="0"/>
    <x v="0"/>
    <x v="2"/>
    <x v="0"/>
    <x v="0"/>
    <m/>
    <m/>
    <m/>
    <m/>
    <m/>
    <s v="Field Technician"/>
    <s v="Wednesday"/>
    <s v=""/>
    <m/>
    <m/>
    <m/>
    <m/>
    <m/>
    <m/>
    <m/>
    <s v="LOZANO, ASHLEY"/>
    <x v="0"/>
    <x v="0"/>
    <x v="0"/>
    <s v="83-0017080401"/>
    <n v="15000"/>
    <n v="0"/>
  </r>
  <r>
    <s v="1521764304"/>
    <s v="AMAROK LLC"/>
    <x v="3"/>
    <x v="0"/>
    <x v="3"/>
    <x v="0"/>
    <s v="SC"/>
    <x v="0"/>
    <s v="M147769"/>
    <s v="00"/>
    <x v="0"/>
    <s v="10/01/2026"/>
    <s v="11/04/2025"/>
    <s v="11/06/2025"/>
    <n v="2"/>
    <x v="0"/>
    <s v="11/21/2025"/>
    <s v="WC Coverage -Med Only"/>
    <n v="0"/>
    <n v="1044.69"/>
    <n v="1044.69"/>
    <n v="0"/>
    <n v="33.5"/>
    <n v="1078.19"/>
    <n v="0"/>
    <n v="0"/>
    <n v="0"/>
    <n v="0"/>
    <n v="0"/>
    <x v="0"/>
    <x v="0"/>
    <x v="0"/>
    <x v="0"/>
    <m/>
    <m/>
    <m/>
    <m/>
    <m/>
    <s v="Unknown"/>
    <s v="Tuesday"/>
    <s v=""/>
    <m/>
    <m/>
    <m/>
    <m/>
    <m/>
    <m/>
    <m/>
    <s v="FOUNTAIN, BRANDON"/>
    <x v="0"/>
    <x v="0"/>
    <x v="0"/>
    <s v="83-0016771002"/>
    <n v="1044.69"/>
    <n v="0"/>
  </r>
  <r>
    <s v="1521764304"/>
    <s v="AMAROK LLC"/>
    <x v="6"/>
    <x v="2"/>
    <x v="6"/>
    <x v="3"/>
    <s v="CA"/>
    <x v="2"/>
    <s v="M166894"/>
    <s v="00"/>
    <x v="0"/>
    <s v="10/01/2026"/>
    <s v="01/16/2026"/>
    <s v="01/20/2026"/>
    <n v="4"/>
    <x v="0"/>
    <s v="01/28/2026"/>
    <m/>
    <n v="0"/>
    <n v="0"/>
    <n v="0"/>
    <n v="0"/>
    <n v="0"/>
    <n v="0"/>
    <n v="0"/>
    <n v="0"/>
    <n v="0"/>
    <n v="0"/>
    <n v="0"/>
    <x v="0"/>
    <x v="3"/>
    <x v="2"/>
    <x v="2"/>
    <m/>
    <m/>
    <m/>
    <m/>
    <m/>
    <s v=""/>
    <s v="Friday"/>
    <s v=""/>
    <m/>
    <m/>
    <m/>
    <m/>
    <m/>
    <m/>
    <m/>
    <m/>
    <x v="2"/>
    <x v="0"/>
    <x v="0"/>
    <s v="85-00902866"/>
    <n v="0"/>
    <n v="1"/>
  </r>
  <r>
    <s v="1521764304"/>
    <s v="AMAROK LLC"/>
    <x v="7"/>
    <x v="1"/>
    <x v="7"/>
    <x v="4"/>
    <s v="SC"/>
    <x v="0"/>
    <s v="M147769"/>
    <s v="00"/>
    <x v="0"/>
    <s v="10/01/2026"/>
    <s v="03/11/2026"/>
    <s v="03/30/2026"/>
    <n v="19"/>
    <x v="0"/>
    <s v="04/06/2026"/>
    <s v="WC Coverage - Other than Med"/>
    <n v="0"/>
    <n v="0"/>
    <n v="0"/>
    <n v="0"/>
    <n v="0"/>
    <n v="0"/>
    <n v="0"/>
    <n v="0"/>
    <n v="0"/>
    <n v="0"/>
    <n v="0"/>
    <x v="0"/>
    <x v="4"/>
    <x v="0"/>
    <x v="3"/>
    <m/>
    <m/>
    <m/>
    <m/>
    <m/>
    <s v="Warehouse Logistics Coordinator"/>
    <s v="Wednesday"/>
    <s v=""/>
    <m/>
    <m/>
    <m/>
    <m/>
    <m/>
    <m/>
    <m/>
    <s v="GADDAM, TINEAL"/>
    <x v="0"/>
    <x v="0"/>
    <x v="0"/>
    <s v="83-0017563701"/>
    <n v="0"/>
    <n v="1"/>
  </r>
  <r>
    <s v="1521764304"/>
    <s v="AMAROK LLC"/>
    <x v="8"/>
    <x v="1"/>
    <x v="8"/>
    <x v="5"/>
    <s v="IN"/>
    <x v="0"/>
    <s v="M147769"/>
    <s v="00"/>
    <x v="0"/>
    <s v="10/01/2026"/>
    <s v="02/02/2026"/>
    <s v="02/18/2026"/>
    <n v="16"/>
    <x v="1"/>
    <m/>
    <s v="WC Coverage - Other than Med"/>
    <n v="0"/>
    <n v="0"/>
    <n v="0"/>
    <n v="0"/>
    <n v="0"/>
    <n v="0"/>
    <n v="0"/>
    <n v="0"/>
    <n v="0"/>
    <n v="0"/>
    <n v="0"/>
    <x v="0"/>
    <x v="5"/>
    <x v="3"/>
    <x v="4"/>
    <m/>
    <m/>
    <m/>
    <m/>
    <m/>
    <s v="Field Tech"/>
    <s v="Monday"/>
    <s v=""/>
    <m/>
    <m/>
    <m/>
    <m/>
    <m/>
    <m/>
    <m/>
    <s v="FOWLER, JENNA"/>
    <x v="0"/>
    <x v="0"/>
    <x v="0"/>
    <s v="83-0017319101"/>
    <n v="0"/>
    <n v="1"/>
  </r>
  <r>
    <s v="1521764304"/>
    <s v="AMAROK LLC"/>
    <x v="9"/>
    <x v="2"/>
    <x v="6"/>
    <x v="1"/>
    <s v="MA"/>
    <x v="1"/>
    <s v="M147006"/>
    <s v="00"/>
    <x v="0"/>
    <s v="10/01/2026"/>
    <s v="02/12/2026"/>
    <s v="02/13/2026"/>
    <n v="1"/>
    <x v="1"/>
    <m/>
    <m/>
    <n v="0"/>
    <n v="0"/>
    <n v="0"/>
    <n v="0"/>
    <n v="0"/>
    <n v="0"/>
    <n v="0"/>
    <n v="0"/>
    <n v="0"/>
    <n v="0"/>
    <n v="0"/>
    <x v="0"/>
    <x v="6"/>
    <x v="4"/>
    <x v="5"/>
    <m/>
    <m/>
    <m/>
    <m/>
    <m/>
    <s v=""/>
    <s v="Thursday"/>
    <s v=""/>
    <m/>
    <m/>
    <m/>
    <m/>
    <m/>
    <m/>
    <m/>
    <m/>
    <x v="1"/>
    <x v="0"/>
    <x v="0"/>
    <s v="85-00916705"/>
    <n v="0"/>
    <n v="1"/>
  </r>
  <r>
    <s v="1521764304"/>
    <s v="AMAROK LLC"/>
    <x v="8"/>
    <x v="0"/>
    <x v="8"/>
    <x v="5"/>
    <s v="IN"/>
    <x v="0"/>
    <s v="M147769"/>
    <s v="00"/>
    <x v="0"/>
    <s v="10/01/2026"/>
    <s v="02/02/2026"/>
    <s v="02/18/2026"/>
    <n v="16"/>
    <x v="1"/>
    <m/>
    <s v="WC Coverage -Med Only"/>
    <n v="0"/>
    <n v="0"/>
    <n v="0"/>
    <n v="0"/>
    <n v="0"/>
    <n v="0"/>
    <n v="0"/>
    <n v="0"/>
    <n v="0"/>
    <n v="0"/>
    <n v="0"/>
    <x v="0"/>
    <x v="5"/>
    <x v="3"/>
    <x v="4"/>
    <m/>
    <m/>
    <m/>
    <m/>
    <m/>
    <s v="Field Tech"/>
    <s v="Monday"/>
    <s v=""/>
    <m/>
    <m/>
    <m/>
    <m/>
    <m/>
    <m/>
    <m/>
    <s v="FOWLER, JENNA"/>
    <x v="0"/>
    <x v="0"/>
    <x v="0"/>
    <s v="83-0017319102"/>
    <n v="0"/>
    <n v="0"/>
  </r>
  <r>
    <s v="1521764304"/>
    <s v="AMAROK LLC"/>
    <x v="10"/>
    <x v="2"/>
    <x v="6"/>
    <x v="0"/>
    <s v="NV"/>
    <x v="2"/>
    <s v="M166894"/>
    <s v="00"/>
    <x v="0"/>
    <s v="10/01/2026"/>
    <s v="10/15/2025"/>
    <s v="02/13/2026"/>
    <n v="121"/>
    <x v="1"/>
    <m/>
    <m/>
    <n v="0"/>
    <n v="0"/>
    <n v="0"/>
    <n v="0"/>
    <n v="0"/>
    <n v="0"/>
    <n v="0"/>
    <n v="0"/>
    <n v="0"/>
    <n v="0"/>
    <n v="0"/>
    <x v="0"/>
    <x v="7"/>
    <x v="2"/>
    <x v="6"/>
    <m/>
    <m/>
    <m/>
    <m/>
    <m/>
    <s v=""/>
    <s v="Wednesday"/>
    <s v=""/>
    <m/>
    <m/>
    <m/>
    <m/>
    <m/>
    <m/>
    <m/>
    <m/>
    <x v="2"/>
    <x v="0"/>
    <x v="0"/>
    <s v="85-00916504"/>
    <n v="0"/>
    <n v="1"/>
  </r>
  <r>
    <s v="1521764304"/>
    <s v="AMAROK LLC"/>
    <x v="11"/>
    <x v="0"/>
    <x v="9"/>
    <x v="1"/>
    <s v="CA"/>
    <x v="1"/>
    <s v="M147006"/>
    <s v="00"/>
    <x v="0"/>
    <s v="10/01/2026"/>
    <s v="03/20/2026"/>
    <s v="03/24/2026"/>
    <n v="4"/>
    <x v="1"/>
    <m/>
    <s v="Liability - VehicleDamage"/>
    <n v="0"/>
    <n v="0"/>
    <n v="0"/>
    <n v="0"/>
    <n v="0"/>
    <n v="0"/>
    <n v="0"/>
    <n v="0"/>
    <n v="0"/>
    <n v="0"/>
    <n v="0"/>
    <x v="0"/>
    <x v="8"/>
    <x v="5"/>
    <x v="7"/>
    <m/>
    <m/>
    <m/>
    <m/>
    <m/>
    <s v=""/>
    <s v="Friday"/>
    <s v="MARCOS PENA"/>
    <m/>
    <m/>
    <m/>
    <m/>
    <m/>
    <m/>
    <m/>
    <s v="MANCINI, MICHAEL"/>
    <x v="1"/>
    <x v="0"/>
    <x v="0"/>
    <s v="85-0093752502"/>
    <n v="0"/>
    <n v="1"/>
  </r>
  <r>
    <s v="1521764304"/>
    <s v="AMAROK LLC"/>
    <x v="12"/>
    <x v="1"/>
    <x v="1"/>
    <x v="1"/>
    <s v="CA"/>
    <x v="1"/>
    <s v="M147006"/>
    <s v="00"/>
    <x v="0"/>
    <s v="10/01/2026"/>
    <s v="01/07/2026"/>
    <s v="01/09/2026"/>
    <n v="2"/>
    <x v="0"/>
    <s v="03/06/2026"/>
    <s v="Collision"/>
    <n v="0"/>
    <n v="10385.969999999999"/>
    <n v="10385.969999999999"/>
    <n v="0"/>
    <n v="0"/>
    <n v="10385.969999999999"/>
    <n v="-10123.1"/>
    <n v="-27675.5"/>
    <n v="-18369.169999999998"/>
    <n v="0"/>
    <n v="0"/>
    <x v="0"/>
    <x v="9"/>
    <x v="6"/>
    <x v="8"/>
    <m/>
    <m/>
    <m/>
    <m/>
    <m/>
    <s v=""/>
    <s v="Wednesday"/>
    <s v="Patrick Fleming"/>
    <s v="Y"/>
    <n v="2025"/>
    <s v="Chevrolet"/>
    <s v="Express 2500"/>
    <s v="1GCWGBFP5S1206451"/>
    <m/>
    <s v="CA"/>
    <s v="FREUND, DANIEL"/>
    <x v="1"/>
    <x v="0"/>
    <x v="0"/>
    <s v="85-0089801001"/>
    <n v="10385.969999999999"/>
    <n v="1"/>
  </r>
  <r>
    <s v="1521764304"/>
    <s v="AMAROK LLC"/>
    <x v="11"/>
    <x v="1"/>
    <x v="1"/>
    <x v="1"/>
    <s v="CA"/>
    <x v="1"/>
    <s v="M147006"/>
    <s v="00"/>
    <x v="0"/>
    <s v="10/01/2026"/>
    <s v="03/20/2026"/>
    <s v="03/24/2026"/>
    <n v="4"/>
    <x v="1"/>
    <m/>
    <s v="Collision"/>
    <n v="0"/>
    <n v="401.42"/>
    <n v="401.42"/>
    <n v="0"/>
    <n v="0"/>
    <n v="401.42"/>
    <n v="0"/>
    <n v="0"/>
    <n v="0"/>
    <n v="0"/>
    <n v="0"/>
    <x v="0"/>
    <x v="8"/>
    <x v="5"/>
    <x v="7"/>
    <m/>
    <m/>
    <m/>
    <m/>
    <m/>
    <s v=""/>
    <s v="Friday"/>
    <s v="MARCOS PENA"/>
    <s v="N"/>
    <n v="2025"/>
    <s v="Chevrolet"/>
    <s v="Express"/>
    <s v="1GCWGBFPXS1199304"/>
    <s v="82022J4"/>
    <s v="CA"/>
    <s v="MANCINI, MICHAEL"/>
    <x v="1"/>
    <x v="0"/>
    <x v="0"/>
    <s v="85-0093752501"/>
    <n v="401.42"/>
    <n v="0"/>
  </r>
  <r>
    <s v="1521764304"/>
    <s v="AMAROK LLC"/>
    <x v="13"/>
    <x v="1"/>
    <x v="1"/>
    <x v="1"/>
    <s v="CA"/>
    <x v="1"/>
    <s v="M147006"/>
    <s v="00"/>
    <x v="0"/>
    <s v="10/01/2026"/>
    <s v="10/14/2025"/>
    <s v="12/10/2025"/>
    <n v="57"/>
    <x v="0"/>
    <s v="12/30/2025"/>
    <s v="Collision"/>
    <n v="0"/>
    <n v="4181.7299999999996"/>
    <n v="4181.7299999999996"/>
    <n v="0"/>
    <n v="0"/>
    <n v="4181.7299999999996"/>
    <n v="0"/>
    <n v="0"/>
    <n v="0"/>
    <n v="0"/>
    <n v="0"/>
    <x v="0"/>
    <x v="6"/>
    <x v="4"/>
    <x v="9"/>
    <m/>
    <m/>
    <m/>
    <m/>
    <m/>
    <s v=""/>
    <s v="Tuesday"/>
    <s v="Edgar Estrella"/>
    <s v="N"/>
    <n v="2023"/>
    <s v="GMC"/>
    <s v="Savana"/>
    <s v="1GTW7BFPXP1188648"/>
    <m/>
    <s v="CA"/>
    <s v="WALKER, TYSON"/>
    <x v="1"/>
    <x v="0"/>
    <x v="0"/>
    <s v="85-0088557401"/>
    <n v="4181.7299999999996"/>
    <n v="1"/>
  </r>
  <r>
    <s v="1521764304"/>
    <s v="AMAROK LLC"/>
    <x v="14"/>
    <x v="0"/>
    <x v="10"/>
    <x v="0"/>
    <s v="SC"/>
    <x v="0"/>
    <s v="M147769"/>
    <s v="00"/>
    <x v="0"/>
    <s v="10/01/2026"/>
    <s v="11/04/2025"/>
    <s v="11/06/2025"/>
    <n v="2"/>
    <x v="0"/>
    <s v="11/21/2025"/>
    <s v="WC Coverage -Med Only"/>
    <n v="0"/>
    <n v="0"/>
    <n v="0"/>
    <n v="0"/>
    <n v="16.75"/>
    <n v="16.75"/>
    <n v="0"/>
    <n v="0"/>
    <n v="0"/>
    <n v="0"/>
    <n v="0"/>
    <x v="0"/>
    <x v="0"/>
    <x v="0"/>
    <x v="0"/>
    <m/>
    <m/>
    <m/>
    <m/>
    <m/>
    <s v="Unknown"/>
    <s v="Tuesday"/>
    <s v=""/>
    <m/>
    <m/>
    <m/>
    <m/>
    <m/>
    <m/>
    <m/>
    <s v="FOUNTAIN, BRANDON"/>
    <x v="0"/>
    <x v="0"/>
    <x v="0"/>
    <s v="83-0016771102"/>
    <n v="0"/>
    <n v="1"/>
  </r>
  <r>
    <s v="1521764304"/>
    <s v="AMAROK LLC"/>
    <x v="15"/>
    <x v="1"/>
    <x v="1"/>
    <x v="1"/>
    <s v="SC"/>
    <x v="1"/>
    <s v="M147006"/>
    <s v="00"/>
    <x v="0"/>
    <s v="10/01/2026"/>
    <s v="03/05/2026"/>
    <s v="03/25/2026"/>
    <n v="20"/>
    <x v="0"/>
    <s v="03/31/2026"/>
    <s v="Comprehensive"/>
    <n v="0"/>
    <n v="573.97"/>
    <n v="573.97"/>
    <n v="0"/>
    <n v="0"/>
    <n v="573.97"/>
    <n v="0"/>
    <n v="0"/>
    <n v="0"/>
    <n v="0"/>
    <n v="0"/>
    <x v="0"/>
    <x v="10"/>
    <x v="7"/>
    <x v="10"/>
    <m/>
    <m/>
    <m/>
    <m/>
    <m/>
    <s v=""/>
    <s v="Thursday"/>
    <s v=""/>
    <s v="N"/>
    <n v="2024"/>
    <s v="Chevrolet"/>
    <s v="Express"/>
    <s v="1GCWGBFP6R1269262"/>
    <s v="CZYM20"/>
    <s v="SC"/>
    <s v="TEAM, GLASS/TOW"/>
    <x v="1"/>
    <x v="0"/>
    <x v="0"/>
    <s v="78-0042941701"/>
    <n v="573.97"/>
    <n v="1"/>
  </r>
  <r>
    <s v="1521764304"/>
    <s v="AMAROK LLC"/>
    <x v="16"/>
    <x v="0"/>
    <x v="11"/>
    <x v="1"/>
    <s v="OR"/>
    <x v="1"/>
    <s v="M147006"/>
    <s v="00"/>
    <x v="0"/>
    <s v="10/01/2026"/>
    <s v="03/18/2026"/>
    <s v="03/24/2026"/>
    <n v="6"/>
    <x v="1"/>
    <m/>
    <s v="Liability - VehicleDamage"/>
    <n v="0"/>
    <n v="2042.86"/>
    <n v="2042.86"/>
    <n v="0"/>
    <n v="0"/>
    <n v="2042.86"/>
    <n v="0"/>
    <n v="0"/>
    <n v="0"/>
    <n v="0"/>
    <n v="0"/>
    <x v="0"/>
    <x v="11"/>
    <x v="8"/>
    <x v="11"/>
    <m/>
    <m/>
    <m/>
    <m/>
    <m/>
    <s v=""/>
    <s v="Wednesday"/>
    <s v="Zack Swindall"/>
    <m/>
    <m/>
    <m/>
    <m/>
    <m/>
    <m/>
    <m/>
    <s v="MANCINI, MICHAEL"/>
    <x v="1"/>
    <x v="0"/>
    <x v="0"/>
    <s v="85-0093789102"/>
    <n v="2042.86"/>
    <n v="1"/>
  </r>
  <r>
    <s v="1521764304"/>
    <s v="AMAROK LLC"/>
    <x v="17"/>
    <x v="1"/>
    <x v="12"/>
    <x v="0"/>
    <s v="CA"/>
    <x v="3"/>
    <s v="M167160"/>
    <s v="00"/>
    <x v="0"/>
    <s v="10/01/2026"/>
    <s v="01/30/2026"/>
    <s v="02/18/2026"/>
    <n v="19"/>
    <x v="1"/>
    <m/>
    <s v="Premises/Operations-Advertising Personal Injury Bodily Injury"/>
    <n v="25000"/>
    <n v="0"/>
    <n v="25000"/>
    <n v="5000"/>
    <n v="0"/>
    <n v="30000"/>
    <n v="0"/>
    <n v="0"/>
    <n v="0"/>
    <n v="0"/>
    <n v="0"/>
    <x v="0"/>
    <x v="7"/>
    <x v="9"/>
    <x v="12"/>
    <m/>
    <m/>
    <m/>
    <m/>
    <m/>
    <s v=""/>
    <s v="Friday"/>
    <s v=""/>
    <m/>
    <m/>
    <m/>
    <m/>
    <m/>
    <m/>
    <m/>
    <s v="RALPHS, BRIAN"/>
    <x v="3"/>
    <x v="0"/>
    <x v="0"/>
    <s v="85-0091804401"/>
    <n v="25000"/>
    <n v="1"/>
  </r>
  <r>
    <s v="1521764304"/>
    <s v="AMAROK LLC"/>
    <x v="18"/>
    <x v="1"/>
    <x v="2"/>
    <x v="2"/>
    <s v="CA"/>
    <x v="0"/>
    <s v="M147769"/>
    <s v="00"/>
    <x v="0"/>
    <s v="10/01/2026"/>
    <s v="10/17/2025"/>
    <s v="10/20/2025"/>
    <n v="3"/>
    <x v="0"/>
    <s v="01/21/2026"/>
    <s v="WC Coverage - Other than Med"/>
    <n v="0"/>
    <n v="3263.94"/>
    <n v="3263.94"/>
    <n v="0"/>
    <n v="450"/>
    <n v="3713.94"/>
    <n v="0"/>
    <n v="0"/>
    <n v="0"/>
    <n v="0"/>
    <n v="0"/>
    <x v="0"/>
    <x v="12"/>
    <x v="0"/>
    <x v="4"/>
    <m/>
    <m/>
    <m/>
    <m/>
    <m/>
    <s v="Field Technician"/>
    <s v="Friday"/>
    <s v=""/>
    <m/>
    <m/>
    <m/>
    <m/>
    <m/>
    <m/>
    <m/>
    <s v="HUFFMAN, JANICE"/>
    <x v="0"/>
    <x v="0"/>
    <x v="0"/>
    <s v="83-0016666301"/>
    <n v="3263.94"/>
    <n v="1"/>
  </r>
  <r>
    <s v="1521764304"/>
    <s v="AMAROK LLC"/>
    <x v="16"/>
    <x v="1"/>
    <x v="1"/>
    <x v="1"/>
    <s v="OR"/>
    <x v="1"/>
    <s v="M147006"/>
    <s v="00"/>
    <x v="0"/>
    <s v="10/01/2026"/>
    <s v="03/18/2026"/>
    <s v="03/24/2026"/>
    <n v="6"/>
    <x v="1"/>
    <m/>
    <s v="Collision"/>
    <n v="0"/>
    <n v="0"/>
    <n v="0"/>
    <n v="0"/>
    <n v="0"/>
    <n v="0"/>
    <n v="0"/>
    <n v="0"/>
    <n v="0"/>
    <n v="0"/>
    <n v="0"/>
    <x v="0"/>
    <x v="11"/>
    <x v="8"/>
    <x v="11"/>
    <m/>
    <m/>
    <m/>
    <m/>
    <m/>
    <s v=""/>
    <s v="Wednesday"/>
    <s v="Zack Swindall"/>
    <s v="N"/>
    <n v="2025"/>
    <s v="Chevrolet"/>
    <s v="Express"/>
    <s v="1GCWGBFPXS1265429"/>
    <m/>
    <m/>
    <s v="MANCINI, MICHAEL"/>
    <x v="1"/>
    <x v="0"/>
    <x v="0"/>
    <s v="85-0093789101"/>
    <n v="0"/>
    <n v="0"/>
  </r>
  <r>
    <s v="1521764304"/>
    <s v="AMAROK LLC"/>
    <x v="19"/>
    <x v="1"/>
    <x v="13"/>
    <x v="0"/>
    <s v="IL"/>
    <x v="3"/>
    <s v="M167160"/>
    <s v="00"/>
    <x v="0"/>
    <s v="10/01/2026"/>
    <s v="12/16/2025"/>
    <s v="02/23/2026"/>
    <n v="69"/>
    <x v="1"/>
    <m/>
    <s v="Premises/Operations-Advertising Personal Injury Bodily Injury"/>
    <n v="99"/>
    <n v="0"/>
    <n v="99"/>
    <n v="0"/>
    <n v="0"/>
    <n v="99"/>
    <n v="0"/>
    <n v="0"/>
    <n v="0"/>
    <n v="0"/>
    <n v="0"/>
    <x v="0"/>
    <x v="7"/>
    <x v="9"/>
    <x v="12"/>
    <m/>
    <m/>
    <m/>
    <m/>
    <m/>
    <s v=""/>
    <s v="Tuesday"/>
    <s v=""/>
    <m/>
    <m/>
    <m/>
    <m/>
    <m/>
    <m/>
    <m/>
    <s v="RALPHS, BRIAN"/>
    <x v="3"/>
    <x v="0"/>
    <x v="0"/>
    <s v="85-0092087601"/>
    <n v="99"/>
    <n v="1"/>
  </r>
  <r>
    <s v="1521764304"/>
    <s v="AMAROK LLC"/>
    <x v="20"/>
    <x v="1"/>
    <x v="14"/>
    <x v="6"/>
    <s v="GA"/>
    <x v="0"/>
    <s v="M147769"/>
    <s v="00"/>
    <x v="0"/>
    <s v="10/01/2026"/>
    <s v="12/16/2025"/>
    <s v="12/17/2025"/>
    <n v="1"/>
    <x v="0"/>
    <s v="03/12/2026"/>
    <s v="WC Coverage - Other than Med"/>
    <n v="0"/>
    <n v="0"/>
    <n v="0"/>
    <n v="0"/>
    <n v="0"/>
    <n v="0"/>
    <n v="0"/>
    <n v="0"/>
    <n v="0"/>
    <n v="0"/>
    <n v="0"/>
    <x v="0"/>
    <x v="4"/>
    <x v="10"/>
    <x v="13"/>
    <m/>
    <m/>
    <m/>
    <m/>
    <m/>
    <s v="Field Tech"/>
    <s v="Tuesday"/>
    <s v=""/>
    <m/>
    <m/>
    <m/>
    <m/>
    <m/>
    <m/>
    <m/>
    <s v="MUNS, MEGAN"/>
    <x v="0"/>
    <x v="0"/>
    <x v="0"/>
    <s v="83-0016983801"/>
    <n v="0"/>
    <n v="1"/>
  </r>
  <r>
    <s v="1521764304"/>
    <s v="AMAROK LLC"/>
    <x v="5"/>
    <x v="0"/>
    <x v="5"/>
    <x v="0"/>
    <s v="SC"/>
    <x v="0"/>
    <s v="M147769"/>
    <s v="00"/>
    <x v="0"/>
    <s v="10/01/2026"/>
    <s v="11/04/2025"/>
    <s v="11/06/2025"/>
    <n v="2"/>
    <x v="0"/>
    <s v="11/21/2025"/>
    <s v="WC Coverage -Med Only"/>
    <n v="0"/>
    <n v="1163.79"/>
    <n v="1163.79"/>
    <n v="0"/>
    <n v="40.15"/>
    <n v="1203.94"/>
    <n v="0"/>
    <n v="0"/>
    <n v="0"/>
    <n v="0"/>
    <n v="0"/>
    <x v="0"/>
    <x v="0"/>
    <x v="0"/>
    <x v="0"/>
    <m/>
    <m/>
    <m/>
    <m/>
    <m/>
    <s v="Unknown"/>
    <s v="Tuesday"/>
    <s v=""/>
    <m/>
    <m/>
    <m/>
    <m/>
    <m/>
    <m/>
    <m/>
    <s v="FOUNTAIN, BRANDON"/>
    <x v="0"/>
    <x v="0"/>
    <x v="0"/>
    <s v="83-0016770802"/>
    <n v="1163.79"/>
    <n v="0"/>
  </r>
  <r>
    <s v="1521764304"/>
    <s v="AMAROK LLC"/>
    <x v="14"/>
    <x v="1"/>
    <x v="10"/>
    <x v="0"/>
    <s v="SC"/>
    <x v="0"/>
    <s v="M147769"/>
    <s v="00"/>
    <x v="0"/>
    <s v="10/01/2026"/>
    <s v="11/04/2025"/>
    <s v="11/06/2025"/>
    <n v="2"/>
    <x v="0"/>
    <s v="11/21/2025"/>
    <s v="WC Coverage - Other than Med"/>
    <n v="0"/>
    <n v="0"/>
    <n v="0"/>
    <n v="0"/>
    <n v="0"/>
    <n v="0"/>
    <n v="0"/>
    <n v="0"/>
    <n v="0"/>
    <n v="0"/>
    <n v="0"/>
    <x v="0"/>
    <x v="0"/>
    <x v="0"/>
    <x v="0"/>
    <m/>
    <m/>
    <m/>
    <m/>
    <m/>
    <s v="Unknown"/>
    <s v="Tuesday"/>
    <s v=""/>
    <m/>
    <m/>
    <m/>
    <m/>
    <m/>
    <m/>
    <m/>
    <s v="FOUNTAIN, BRANDON"/>
    <x v="0"/>
    <x v="0"/>
    <x v="0"/>
    <s v="83-0016771101"/>
    <n v="0"/>
    <n v="0"/>
  </r>
  <r>
    <s v="1521764304"/>
    <s v="AMAROK LLC"/>
    <x v="18"/>
    <x v="0"/>
    <x v="2"/>
    <x v="2"/>
    <s v="CA"/>
    <x v="0"/>
    <s v="M147769"/>
    <s v="00"/>
    <x v="0"/>
    <s v="10/01/2026"/>
    <s v="10/17/2025"/>
    <s v="10/20/2025"/>
    <n v="3"/>
    <x v="0"/>
    <s v="01/21/2026"/>
    <s v="WC Coverage -Med Only"/>
    <n v="0"/>
    <n v="3101.61"/>
    <n v="3101.61"/>
    <n v="0"/>
    <n v="584.02"/>
    <n v="3685.63"/>
    <n v="0"/>
    <n v="0"/>
    <n v="0"/>
    <n v="0"/>
    <n v="-30"/>
    <x v="0"/>
    <x v="12"/>
    <x v="0"/>
    <x v="4"/>
    <m/>
    <m/>
    <m/>
    <m/>
    <m/>
    <s v="Field Technician"/>
    <s v="Friday"/>
    <s v=""/>
    <m/>
    <m/>
    <m/>
    <m/>
    <m/>
    <m/>
    <m/>
    <s v="HUFFMAN, JANICE"/>
    <x v="0"/>
    <x v="0"/>
    <x v="0"/>
    <s v="83-0016666302"/>
    <n v="3101.61"/>
    <n v="0"/>
  </r>
  <r>
    <s v="1521764304"/>
    <s v="AMAROK LLC"/>
    <x v="20"/>
    <x v="0"/>
    <x v="14"/>
    <x v="6"/>
    <s v="GA"/>
    <x v="0"/>
    <s v="M147769"/>
    <s v="00"/>
    <x v="0"/>
    <s v="10/01/2026"/>
    <s v="12/16/2025"/>
    <s v="12/17/2025"/>
    <n v="1"/>
    <x v="0"/>
    <s v="03/12/2026"/>
    <s v="WC Coverage -Med Only"/>
    <n v="0"/>
    <n v="773.04"/>
    <n v="773.04"/>
    <n v="0"/>
    <n v="17.89"/>
    <n v="790.93"/>
    <n v="0"/>
    <n v="0"/>
    <n v="0"/>
    <n v="0"/>
    <n v="0"/>
    <x v="0"/>
    <x v="4"/>
    <x v="10"/>
    <x v="13"/>
    <m/>
    <m/>
    <m/>
    <m/>
    <m/>
    <s v="Field Tech"/>
    <s v="Tuesday"/>
    <s v=""/>
    <m/>
    <m/>
    <m/>
    <m/>
    <m/>
    <m/>
    <m/>
    <s v="MUNS, MEGAN"/>
    <x v="0"/>
    <x v="0"/>
    <x v="0"/>
    <s v="83-0016983802"/>
    <n v="773.04"/>
    <n v="0"/>
  </r>
  <r>
    <s v="1521764304"/>
    <s v="AMAROK LLC"/>
    <x v="7"/>
    <x v="0"/>
    <x v="7"/>
    <x v="4"/>
    <s v="SC"/>
    <x v="0"/>
    <s v="M147769"/>
    <s v="00"/>
    <x v="0"/>
    <s v="10/01/2026"/>
    <s v="03/11/2026"/>
    <s v="03/30/2026"/>
    <n v="19"/>
    <x v="0"/>
    <s v="04/06/2026"/>
    <s v="WC Coverage -Med Only"/>
    <n v="0"/>
    <n v="0"/>
    <n v="0"/>
    <n v="0"/>
    <n v="0"/>
    <n v="0"/>
    <n v="0"/>
    <n v="0"/>
    <n v="0"/>
    <n v="0"/>
    <n v="0"/>
    <x v="0"/>
    <x v="4"/>
    <x v="0"/>
    <x v="3"/>
    <m/>
    <m/>
    <m/>
    <m/>
    <m/>
    <s v="Warehouse Logistics Coordinator"/>
    <s v="Wednesday"/>
    <s v=""/>
    <m/>
    <m/>
    <m/>
    <m/>
    <m/>
    <m/>
    <m/>
    <s v="GADDAM, TINEAL"/>
    <x v="0"/>
    <x v="0"/>
    <x v="0"/>
    <s v="83-0017563702"/>
    <n v="0"/>
    <n v="0"/>
  </r>
  <r>
    <s v="1521764304"/>
    <s v="AMAROK LLC"/>
    <x v="1"/>
    <x v="0"/>
    <x v="15"/>
    <x v="1"/>
    <s v="CA"/>
    <x v="1"/>
    <s v="M147006"/>
    <s v="00"/>
    <x v="0"/>
    <s v="10/01/2026"/>
    <s v="02/06/2026"/>
    <s v="02/06/2026"/>
    <n v="0"/>
    <x v="1"/>
    <m/>
    <s v="Liability - VehicleDamage"/>
    <n v="0"/>
    <n v="2048.54"/>
    <n v="2048.54"/>
    <n v="0"/>
    <n v="0"/>
    <n v="2048.54"/>
    <n v="0"/>
    <n v="0"/>
    <n v="0"/>
    <n v="0"/>
    <n v="0"/>
    <x v="0"/>
    <x v="1"/>
    <x v="1"/>
    <x v="1"/>
    <m/>
    <m/>
    <m/>
    <m/>
    <m/>
    <s v=""/>
    <s v="Friday"/>
    <s v="Gavin Hendriks"/>
    <m/>
    <m/>
    <m/>
    <m/>
    <m/>
    <m/>
    <m/>
    <s v="GREGOIRE, DANIELLE"/>
    <x v="1"/>
    <x v="0"/>
    <x v="0"/>
    <s v="85-0091309702"/>
    <n v="2048.54"/>
    <n v="0"/>
  </r>
  <r>
    <s v="1521764304"/>
    <s v="AMAROK LLC"/>
    <x v="0"/>
    <x v="1"/>
    <x v="0"/>
    <x v="0"/>
    <s v="SC"/>
    <x v="0"/>
    <s v="M147769"/>
    <s v="00"/>
    <x v="0"/>
    <s v="10/01/2026"/>
    <s v="11/04/2025"/>
    <s v="11/06/2025"/>
    <n v="2"/>
    <x v="0"/>
    <s v="11/21/2025"/>
    <s v="WC Coverage - Other than Med"/>
    <n v="0"/>
    <n v="0"/>
    <n v="0"/>
    <n v="0"/>
    <n v="0"/>
    <n v="0"/>
    <n v="0"/>
    <n v="0"/>
    <n v="0"/>
    <n v="0"/>
    <n v="0"/>
    <x v="0"/>
    <x v="0"/>
    <x v="0"/>
    <x v="0"/>
    <m/>
    <m/>
    <m/>
    <m/>
    <m/>
    <s v="Unknown"/>
    <s v="Tuesday"/>
    <s v=""/>
    <m/>
    <m/>
    <m/>
    <m/>
    <m/>
    <m/>
    <m/>
    <s v="FOUNTAIN, BRANDON"/>
    <x v="0"/>
    <x v="0"/>
    <x v="0"/>
    <s v="83-0016770701"/>
    <n v="0"/>
    <n v="0"/>
  </r>
  <r>
    <s v="1521764304"/>
    <s v="AMAROK LLC"/>
    <x v="21"/>
    <x v="1"/>
    <x v="16"/>
    <x v="1"/>
    <s v="GA"/>
    <x v="3"/>
    <s v="M167160"/>
    <s v="00"/>
    <x v="0"/>
    <s v="10/01/2026"/>
    <s v="03/12/2026"/>
    <s v="03/26/2026"/>
    <n v="14"/>
    <x v="1"/>
    <m/>
    <s v="Premises/Operations-Advertising Personal Injury Vehicle Damage"/>
    <n v="0"/>
    <n v="4683.51"/>
    <n v="4683.51"/>
    <n v="0"/>
    <n v="0"/>
    <n v="4683.51"/>
    <n v="0"/>
    <n v="0"/>
    <n v="0"/>
    <n v="0"/>
    <n v="0"/>
    <x v="0"/>
    <x v="13"/>
    <x v="11"/>
    <x v="14"/>
    <m/>
    <m/>
    <m/>
    <m/>
    <m/>
    <s v=""/>
    <s v="Thursday"/>
    <s v=""/>
    <m/>
    <m/>
    <m/>
    <m/>
    <m/>
    <m/>
    <m/>
    <s v="GOLSCH, JENNIFER"/>
    <x v="3"/>
    <x v="0"/>
    <x v="0"/>
    <s v="85-0093979901"/>
    <n v="4683.51"/>
    <n v="1"/>
  </r>
  <r>
    <s v="1521764304"/>
    <s v="AMAROK LLC"/>
    <x v="22"/>
    <x v="1"/>
    <x v="17"/>
    <x v="1"/>
    <s v="NY"/>
    <x v="1"/>
    <s v="M147006"/>
    <s v="00"/>
    <x v="0"/>
    <s v="10/01/2026"/>
    <s v="10/16/2025"/>
    <s v="10/27/2025"/>
    <n v="11"/>
    <x v="0"/>
    <s v="02/02/2026"/>
    <s v="Liability - VehicleDamage"/>
    <n v="0"/>
    <n v="3917.14"/>
    <n v="3917.14"/>
    <n v="0"/>
    <n v="0"/>
    <n v="3917.14"/>
    <n v="0"/>
    <n v="0"/>
    <n v="0"/>
    <n v="0"/>
    <n v="0"/>
    <x v="0"/>
    <x v="14"/>
    <x v="12"/>
    <x v="10"/>
    <m/>
    <m/>
    <m/>
    <m/>
    <m/>
    <s v=""/>
    <s v="Thursday"/>
    <s v="Isiah Miller"/>
    <m/>
    <m/>
    <m/>
    <m/>
    <m/>
    <m/>
    <m/>
    <s v="BLISS, AMANDA"/>
    <x v="1"/>
    <x v="0"/>
    <x v="0"/>
    <s v="85-0086439501"/>
    <n v="3917.14"/>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N44" firstHeaderRow="1" firstDataRow="2" firstDataCol="9" rowPageCount="4" colPageCount="1"/>
  <pivotFields count="55">
    <pivotField compact="0" outline="0" subtotalTop="0" showAll="0" defaultSubtotal="0"/>
    <pivotField compact="0" outline="0" subtotalTop="0" showAll="0" defaultSubtotal="0"/>
    <pivotField axis="axisRow" compact="0" outline="0" subtotalTop="0" showAll="0" sortType="ascending" defaultSubtotal="0">
      <items count="26">
        <item m="1" x="24"/>
        <item m="1" x="23"/>
        <item m="1" x="25"/>
        <item x="15"/>
        <item x="18"/>
        <item x="0"/>
        <item x="5"/>
        <item x="4"/>
        <item x="3"/>
        <item x="14"/>
        <item x="20"/>
        <item x="2"/>
        <item x="8"/>
        <item x="7"/>
        <item x="22"/>
        <item x="13"/>
        <item x="12"/>
        <item x="6"/>
        <item x="1"/>
        <item x="10"/>
        <item x="9"/>
        <item x="17"/>
        <item x="19"/>
        <item x="11"/>
        <item x="16"/>
        <item x="21"/>
      </items>
    </pivotField>
    <pivotField axis="axisRow" compact="0" outline="0" subtotalTop="0" showAll="0" defaultSubtotal="0">
      <items count="3">
        <item x="1"/>
        <item x="0"/>
        <item x="2"/>
      </items>
    </pivotField>
    <pivotField axis="axisRow" compact="0" outline="0" subtotalTop="0" showAll="0" defaultSubtotal="0">
      <items count="19">
        <item m="1" x="18"/>
        <item x="0"/>
        <item x="1"/>
        <item x="2"/>
        <item x="3"/>
        <item x="4"/>
        <item x="5"/>
        <item x="6"/>
        <item x="7"/>
        <item x="8"/>
        <item x="9"/>
        <item x="10"/>
        <item x="11"/>
        <item x="12"/>
        <item x="13"/>
        <item x="14"/>
        <item x="15"/>
        <item x="16"/>
        <item x="17"/>
      </items>
    </pivotField>
    <pivotField axis="axisRow" compact="0" outline="0" subtotalTop="0" showAll="0" sortType="ascending" defaultSubtotal="0">
      <items count="8">
        <item x="4"/>
        <item x="0"/>
        <item x="3"/>
        <item x="2"/>
        <item x="6"/>
        <item x="5"/>
        <item m="1" x="7"/>
        <item x="1"/>
      </items>
    </pivotField>
    <pivotField compact="0" outline="0" subtotalTop="0" showAll="0" defaultSubtotal="0"/>
    <pivotField axis="axisPage" compact="0" outline="0" subtotalTop="0" showAll="0" defaultSubtotal="0">
      <items count="5">
        <item m="1" x="4"/>
        <item x="0"/>
        <item x="1"/>
        <item x="2"/>
        <item x="3"/>
      </items>
    </pivotField>
    <pivotField compact="0" outline="0" subtotalTop="0" showAll="0" defaultSubtotal="0"/>
    <pivotField compact="0" outline="0" subtotalTop="0" showAll="0" defaultSubtotal="0"/>
    <pivotField axis="axisRow" compact="0" numFmtId="14" outline="0" subtotalTop="0" showAll="0" sortType="ascending" defaultSubtotal="0">
      <items count="3">
        <item x="0"/>
        <item m="1" x="2"/>
        <item m="1" x="1"/>
      </items>
    </pivotField>
    <pivotField compact="0" numFmtId="14" outline="0" subtotalTop="0" showAll="0" defaultSubtotal="0"/>
    <pivotField compact="0" numFmtId="14" outline="0" subtotalTop="0" showAll="0" defaultSubtotal="0"/>
    <pivotField compact="0" numFmtId="14" outline="0" subtotalTop="0" showAll="0" defaultSubtotal="0"/>
    <pivotField compact="0" numFmtId="1" outline="0" subtotalTop="0" showAll="0" defaultSubtotal="0"/>
    <pivotField axis="axisPage" compact="0" outline="0" subtotalTop="0" showAll="0" defaultSubtotal="0">
      <items count="3">
        <item m="1" x="2"/>
        <item x="0"/>
        <item x="1"/>
      </items>
    </pivotField>
    <pivotField compact="0" numFmtId="14" outline="0" subtotalTop="0" showAll="0" defaultSubtotal="0"/>
    <pivotField compact="0" outline="0" subtotalTop="0" showAll="0" defaultSubtotal="0"/>
    <pivotField dataField="1" compact="0" numFmtId="166" outline="0" subtotalTop="0" showAll="0" defaultSubtotal="0"/>
    <pivotField dataField="1" compact="0" numFmtId="166" outline="0" subtotalTop="0" showAll="0" defaultSubtotal="0"/>
    <pivotField compact="0" numFmtId="166" outline="0" subtotalTop="0" showAll="0" defaultSubtotal="0"/>
    <pivotField dataField="1" compact="0" numFmtId="166" outline="0" subtotalTop="0" showAll="0" defaultSubtotal="0"/>
    <pivotField dataField="1" compact="0" numFmtId="166" outline="0" subtotalTop="0" showAll="0" defaultSubtotal="0"/>
    <pivotField dataField="1"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compact="0" numFmtId="166" outline="0" subtotalTop="0" showAll="0" defaultSubtotal="0"/>
    <pivotField axis="axisPage" compact="0" outline="0" subtotalTop="0" showAll="0" defaultSubtotal="0">
      <items count="2">
        <item m="1" x="1"/>
        <item x="0"/>
      </items>
    </pivotField>
    <pivotField axis="axisRow" compact="0" outline="0" subtotalTop="0" showAll="0" defaultSubtotal="0">
      <items count="16">
        <item m="1" x="15"/>
        <item x="0"/>
        <item x="1"/>
        <item x="2"/>
        <item x="3"/>
        <item x="4"/>
        <item x="5"/>
        <item x="6"/>
        <item x="7"/>
        <item x="8"/>
        <item x="9"/>
        <item x="10"/>
        <item x="11"/>
        <item x="12"/>
        <item x="13"/>
        <item x="14"/>
      </items>
    </pivotField>
    <pivotField axis="axisRow" compact="0" outline="0" subtotalTop="0" showAll="0" defaultSubtotal="0">
      <items count="14">
        <item m="1" x="13"/>
        <item x="0"/>
        <item x="1"/>
        <item x="2"/>
        <item x="3"/>
        <item x="4"/>
        <item x="5"/>
        <item x="6"/>
        <item x="7"/>
        <item x="8"/>
        <item x="9"/>
        <item x="10"/>
        <item x="11"/>
        <item x="12"/>
      </items>
    </pivotField>
    <pivotField compact="0" outline="0" subtotalTop="0" showAll="0" defaultSubtotal="0">
      <items count="16">
        <item m="1" x="15"/>
        <item x="0"/>
        <item x="1"/>
        <item x="2"/>
        <item x="3"/>
        <item x="4"/>
        <item x="5"/>
        <item x="6"/>
        <item x="7"/>
        <item x="8"/>
        <item x="9"/>
        <item x="10"/>
        <item x="11"/>
        <item x="12"/>
        <item x="13"/>
        <item x="14"/>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sortType="ascending" defaultSubtotal="0">
      <items count="5">
        <item x="1"/>
        <item x="3"/>
        <item x="2"/>
        <item m="1" x="4"/>
        <item x="0"/>
      </items>
    </pivotField>
    <pivotField axis="axisRow" compact="0" outline="0" subtotalTop="0" showAll="0" sortType="descending">
      <items count="4">
        <item x="0"/>
        <item m="1" x="1"/>
        <item m="1" x="2"/>
        <item t="default"/>
      </items>
    </pivotField>
    <pivotField axis="axisPage" compact="0" outline="0" subtotalTop="0" showAll="0" defaultSubtotal="0">
      <items count="1">
        <item x="0"/>
      </items>
    </pivotField>
    <pivotField compact="0" outline="0" subtotalTop="0" showAll="0" defaultSubtotal="0"/>
    <pivotField compact="0" numFmtId="166" outline="0" subtotalTop="0" showAll="0" defaultSubtotal="0"/>
    <pivotField compact="0" outline="0" subtotalTop="0" showAll="0" defaultSubtotal="0"/>
  </pivotFields>
  <rowFields count="9">
    <field x="50"/>
    <field x="49"/>
    <field x="10"/>
    <field x="5"/>
    <field x="2"/>
    <field x="3"/>
    <field x="4"/>
    <field x="30"/>
    <field x="31"/>
  </rowFields>
  <rowItems count="37">
    <i>
      <x/>
      <x/>
      <x/>
      <x v="7"/>
      <x v="3"/>
      <x/>
      <x v="2"/>
      <x v="11"/>
      <x v="8"/>
    </i>
    <i r="4">
      <x v="14"/>
      <x/>
      <x v="18"/>
      <x v="15"/>
      <x v="13"/>
    </i>
    <i r="4">
      <x v="15"/>
      <x/>
      <x v="2"/>
      <x v="7"/>
      <x v="5"/>
    </i>
    <i r="4">
      <x v="16"/>
      <x/>
      <x v="2"/>
      <x v="10"/>
      <x v="7"/>
    </i>
    <i r="4">
      <x v="18"/>
      <x/>
      <x v="2"/>
      <x v="2"/>
      <x v="2"/>
    </i>
    <i r="5">
      <x v="1"/>
      <x v="16"/>
      <x v="2"/>
      <x v="2"/>
    </i>
    <i r="4">
      <x v="20"/>
      <x v="2"/>
      <x v="7"/>
      <x v="7"/>
      <x v="5"/>
    </i>
    <i r="4">
      <x v="23"/>
      <x/>
      <x v="2"/>
      <x v="9"/>
      <x v="6"/>
    </i>
    <i r="5">
      <x v="1"/>
      <x v="10"/>
      <x v="9"/>
      <x v="6"/>
    </i>
    <i r="4">
      <x v="24"/>
      <x/>
      <x v="2"/>
      <x v="12"/>
      <x v="9"/>
    </i>
    <i r="5">
      <x v="1"/>
      <x v="12"/>
      <x v="12"/>
      <x v="9"/>
    </i>
    <i r="1">
      <x v="1"/>
      <x/>
      <x v="1"/>
      <x v="21"/>
      <x/>
      <x v="13"/>
      <x v="8"/>
      <x v="10"/>
    </i>
    <i r="4">
      <x v="22"/>
      <x/>
      <x v="14"/>
      <x v="8"/>
      <x v="10"/>
    </i>
    <i r="3">
      <x v="7"/>
      <x v="25"/>
      <x/>
      <x v="17"/>
      <x v="14"/>
      <x v="12"/>
    </i>
    <i r="1">
      <x v="2"/>
      <x/>
      <x v="1"/>
      <x v="19"/>
      <x v="2"/>
      <x v="7"/>
      <x v="8"/>
      <x v="3"/>
    </i>
    <i r="3">
      <x v="2"/>
      <x v="17"/>
      <x v="2"/>
      <x v="7"/>
      <x v="4"/>
      <x v="3"/>
    </i>
    <i r="1">
      <x v="4"/>
      <x/>
      <x/>
      <x v="13"/>
      <x/>
      <x v="8"/>
      <x v="5"/>
      <x v="1"/>
    </i>
    <i r="5">
      <x v="1"/>
      <x v="8"/>
      <x v="5"/>
      <x v="1"/>
    </i>
    <i r="3">
      <x v="1"/>
      <x v="5"/>
      <x/>
      <x v="1"/>
      <x v="1"/>
      <x v="1"/>
    </i>
    <i r="5">
      <x v="1"/>
      <x v="1"/>
      <x v="1"/>
      <x v="1"/>
    </i>
    <i r="4">
      <x v="6"/>
      <x/>
      <x v="6"/>
      <x v="1"/>
      <x v="1"/>
    </i>
    <i r="5">
      <x v="1"/>
      <x v="6"/>
      <x v="1"/>
      <x v="1"/>
    </i>
    <i r="4">
      <x v="7"/>
      <x/>
      <x v="5"/>
      <x v="1"/>
      <x v="1"/>
    </i>
    <i r="5">
      <x v="1"/>
      <x v="5"/>
      <x v="1"/>
      <x v="1"/>
    </i>
    <i r="4">
      <x v="8"/>
      <x/>
      <x v="4"/>
      <x v="1"/>
      <x v="1"/>
    </i>
    <i r="5">
      <x v="1"/>
      <x v="4"/>
      <x v="1"/>
      <x v="1"/>
    </i>
    <i r="4">
      <x v="9"/>
      <x/>
      <x v="11"/>
      <x v="1"/>
      <x v="1"/>
    </i>
    <i r="5">
      <x v="1"/>
      <x v="11"/>
      <x v="1"/>
      <x v="1"/>
    </i>
    <i r="3">
      <x v="3"/>
      <x v="4"/>
      <x/>
      <x v="3"/>
      <x v="13"/>
      <x v="1"/>
    </i>
    <i r="5">
      <x v="1"/>
      <x v="3"/>
      <x v="13"/>
      <x v="1"/>
    </i>
    <i r="4">
      <x v="11"/>
      <x/>
      <x v="3"/>
      <x v="3"/>
      <x v="1"/>
    </i>
    <i r="5">
      <x v="1"/>
      <x v="3"/>
      <x v="3"/>
      <x v="1"/>
    </i>
    <i r="3">
      <x v="4"/>
      <x v="10"/>
      <x/>
      <x v="15"/>
      <x v="5"/>
      <x v="11"/>
    </i>
    <i r="5">
      <x v="1"/>
      <x v="15"/>
      <x v="5"/>
      <x v="11"/>
    </i>
    <i r="3">
      <x v="5"/>
      <x v="12"/>
      <x/>
      <x v="9"/>
      <x v="6"/>
      <x v="4"/>
    </i>
    <i r="5">
      <x v="1"/>
      <x v="9"/>
      <x v="6"/>
      <x v="4"/>
    </i>
    <i t="default">
      <x/>
    </i>
  </rowItems>
  <colFields count="1">
    <field x="-2"/>
  </colFields>
  <colItems count="5">
    <i>
      <x/>
    </i>
    <i i="1">
      <x v="1"/>
    </i>
    <i i="2">
      <x v="2"/>
    </i>
    <i i="3">
      <x v="3"/>
    </i>
    <i i="4">
      <x v="4"/>
    </i>
  </colItems>
  <pageFields count="4">
    <pageField fld="7" hier="-1"/>
    <pageField fld="15" hier="-1"/>
    <pageField fld="29" hier="-1"/>
    <pageField fld="51" hier="-1"/>
  </pageFields>
  <dataFields count="5">
    <dataField name="$ Loss Reserve" fld="18" baseField="32" baseItem="0" numFmtId="166"/>
    <dataField name="$ Total Paid" fld="19" baseField="32" baseItem="0" numFmtId="166"/>
    <dataField name="$ ALAE Reserve" fld="21" baseField="32" baseItem="0" numFmtId="166"/>
    <dataField name="$ ALAE Paid" fld="22" baseField="32" baseItem="0" numFmtId="166"/>
    <dataField name="$ Total Incurred + ALAE" fld="23" baseField="32" baseItem="0" numFmtId="166"/>
  </dataFields>
  <formats count="23">
    <format dxfId="47">
      <pivotArea field="50" type="button" dataOnly="0" labelOnly="1" outline="0" axis="axisRow" fieldPosition="0"/>
    </format>
    <format dxfId="46">
      <pivotArea field="49" type="button" dataOnly="0" labelOnly="1" outline="0" axis="axisRow" fieldPosition="1"/>
    </format>
    <format dxfId="45">
      <pivotArea field="10" type="button" dataOnly="0" labelOnly="1" outline="0" axis="axisRow" fieldPosition="2"/>
    </format>
    <format dxfId="44">
      <pivotArea field="5" type="button" dataOnly="0" labelOnly="1" outline="0" axis="axisRow" fieldPosition="3"/>
    </format>
    <format dxfId="43">
      <pivotArea field="2" type="button" dataOnly="0" labelOnly="1" outline="0" axis="axisRow" fieldPosition="4"/>
    </format>
    <format dxfId="42">
      <pivotArea field="30" type="button" dataOnly="0" labelOnly="1" outline="0" axis="axisRow" fieldPosition="7"/>
    </format>
    <format dxfId="41">
      <pivotArea field="31" type="button" dataOnly="0" labelOnly="1" outline="0" axis="axisRow" fieldPosition="8"/>
    </format>
    <format dxfId="40">
      <pivotArea field="32" type="button" dataOnly="0" labelOnly="1" outline="0"/>
    </format>
    <format dxfId="39">
      <pivotArea dataOnly="0" labelOnly="1" outline="0" fieldPosition="0">
        <references count="1">
          <reference field="4294967294" count="3">
            <x v="0"/>
            <x v="2"/>
            <x v="3"/>
          </reference>
        </references>
      </pivotArea>
    </format>
    <format dxfId="38">
      <pivotArea field="50" type="button" dataOnly="0" labelOnly="1" outline="0" axis="axisRow" fieldPosition="0"/>
    </format>
    <format dxfId="37">
      <pivotArea field="49" type="button" dataOnly="0" labelOnly="1" outline="0" axis="axisRow" fieldPosition="1"/>
    </format>
    <format dxfId="36">
      <pivotArea field="10" type="button" dataOnly="0" labelOnly="1" outline="0" axis="axisRow" fieldPosition="2"/>
    </format>
    <format dxfId="35">
      <pivotArea field="5" type="button" dataOnly="0" labelOnly="1" outline="0" axis="axisRow" fieldPosition="3"/>
    </format>
    <format dxfId="34">
      <pivotArea field="2" type="button" dataOnly="0" labelOnly="1" outline="0" axis="axisRow" fieldPosition="4"/>
    </format>
    <format dxfId="33">
      <pivotArea field="30" type="button" dataOnly="0" labelOnly="1" outline="0" axis="axisRow" fieldPosition="7"/>
    </format>
    <format dxfId="32">
      <pivotArea field="31" type="button" dataOnly="0" labelOnly="1" outline="0" axis="axisRow" fieldPosition="8"/>
    </format>
    <format dxfId="31">
      <pivotArea field="32" type="button" dataOnly="0" labelOnly="1" outline="0"/>
    </format>
    <format dxfId="30">
      <pivotArea dataOnly="0" labelOnly="1" outline="0" fieldPosition="0">
        <references count="1">
          <reference field="4294967294" count="3">
            <x v="0"/>
            <x v="2"/>
            <x v="3"/>
          </reference>
        </references>
      </pivotArea>
    </format>
    <format dxfId="29">
      <pivotArea dataOnly="0" labelOnly="1" outline="0" fieldPosition="0">
        <references count="1">
          <reference field="4294967294" count="1">
            <x v="4"/>
          </reference>
        </references>
      </pivotArea>
    </format>
    <format dxfId="28">
      <pivotArea dataOnly="0" labelOnly="1" outline="0" fieldPosition="0">
        <references count="1">
          <reference field="4294967294" count="1">
            <x v="1"/>
          </reference>
        </references>
      </pivotArea>
    </format>
    <format>
      <pivotArea dataOnly="0" labelOnly="1" outline="0" fieldPosition="0">
        <references count="1">
          <reference field="4294967294" count="5">
            <x v="0"/>
            <x v="1"/>
            <x v="2"/>
            <x v="3"/>
            <x v="4"/>
          </reference>
        </references>
      </pivotArea>
    </format>
    <format dxfId="27">
      <pivotArea field="4" type="button" dataOnly="0" labelOnly="1" outline="0" axis="axisRow" fieldPosition="6"/>
    </format>
    <format dxfId="26">
      <pivotArea field="3" type="button" dataOnly="0" labelOnly="1" outline="0" axis="axisRow" fieldPosition="5"/>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C4" firstHeaderRow="1" firstDataRow="2" firstDataCol="1"/>
  <pivotFields count="55">
    <pivotField showAll="0"/>
    <pivotField showAll="0"/>
    <pivotField showAll="0"/>
    <pivotField showAll="0"/>
    <pivotField showAll="0"/>
    <pivotField showAll="0"/>
    <pivotField showAll="0"/>
    <pivotField showAll="0"/>
    <pivotField showAll="0"/>
    <pivotField showAll="0"/>
    <pivotField numFmtId="14" showAll="0"/>
    <pivotField numFmtId="14" showAll="0"/>
    <pivotField numFmtId="14" showAll="0"/>
    <pivotField numFmtId="14" showAll="0"/>
    <pivotField numFmtId="1" showAll="0"/>
    <pivotField showAll="0"/>
    <pivotField numFmtId="14" showAll="0"/>
    <pivotField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4">
        <item m="1" x="2"/>
        <item m="1" x="1"/>
        <item x="0"/>
        <item t="default"/>
      </items>
    </pivotField>
    <pivotField showAll="0"/>
    <pivotField showAll="0"/>
    <pivotField dataField="1" numFmtId="166" showAll="0"/>
    <pivotField dataField="1" showAll="0"/>
  </pivotFields>
  <rowFields count="1">
    <field x="50"/>
  </rowFields>
  <rowItems count="2">
    <i>
      <x v="2"/>
    </i>
    <i t="grand">
      <x/>
    </i>
  </rowItems>
  <colFields count="1">
    <field x="-2"/>
  </colFields>
  <colItems count="2">
    <i>
      <x/>
    </i>
    <i i="1">
      <x v="1"/>
    </i>
  </colItems>
  <dataFields count="2">
    <dataField name="Number of Claims" fld="54" baseField="51" baseItem="0"/>
    <dataField name="Sum of Total Incurred" fld="53" baseField="0" baseItem="0" numFmtId="166"/>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50"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aimsData" displayName="ClaimsData" ref="A1:BC37" totalsRowShown="0" headerRowDxfId="25" dataDxfId="24">
  <tableColumns count="55">
    <tableColumn id="1" xr3:uid="{00000000-0010-0000-0000-000001000000}" name="Customer Number"/>
    <tableColumn id="2" xr3:uid="{00000000-0010-0000-0000-000002000000}" name="Policy Insured Name"/>
    <tableColumn id="3" xr3:uid="{00000000-0010-0000-0000-000003000000}" name="Claim Number"/>
    <tableColumn id="4" xr3:uid="{00000000-0010-0000-0000-000004000000}" name="Exposure"/>
    <tableColumn id="5" xr3:uid="{00000000-0010-0000-0000-000005000000}" name="Claimant Name"/>
    <tableColumn id="6" xr3:uid="{00000000-0010-0000-0000-000006000000}" name="Account Location Identifier"/>
    <tableColumn id="7" xr3:uid="{00000000-0010-0000-0000-000007000000}" name="Accident State"/>
    <tableColumn id="8" xr3:uid="{00000000-0010-0000-0000-000008000000}" name="Policy Symbol"/>
    <tableColumn id="9" xr3:uid="{00000000-0010-0000-0000-000009000000}" name="Policy Number"/>
    <tableColumn id="10" xr3:uid="{00000000-0010-0000-0000-00000A000000}" name="Policy MOD"/>
    <tableColumn id="11" xr3:uid="{00000000-0010-0000-0000-00000B000000}" name="Policy Effective Date"/>
    <tableColumn id="12" xr3:uid="{00000000-0010-0000-0000-00000C000000}" name="Policy Expiration Date"/>
    <tableColumn id="13" xr3:uid="{00000000-0010-0000-0000-00000D000000}" name="Loss Date"/>
    <tableColumn id="14" xr3:uid="{00000000-0010-0000-0000-00000E000000}" name="Date of Notice"/>
    <tableColumn id="15" xr3:uid="{00000000-0010-0000-0000-00000F000000}" name="Lag Time"/>
    <tableColumn id="16" xr3:uid="{00000000-0010-0000-0000-000010000000}" name="Claim Status"/>
    <tableColumn id="17" xr3:uid="{00000000-0010-0000-0000-000011000000}" name="Claim Closed Date"/>
    <tableColumn id="18" xr3:uid="{00000000-0010-0000-0000-000012000000}" name="Coverage"/>
    <tableColumn id="19" xr3:uid="{00000000-0010-0000-0000-000013000000}" name="Outstanding Loss Reserve"/>
    <tableColumn id="20" xr3:uid="{00000000-0010-0000-0000-000014000000}" name="Total Paid Loss Net Salvage/Subro/Loss Recovery"/>
    <tableColumn id="21" xr3:uid="{00000000-0010-0000-0000-000015000000}" name="Incurred w/o ALAE"/>
    <tableColumn id="22" xr3:uid="{00000000-0010-0000-0000-000016000000}" name="ALAE Reserve"/>
    <tableColumn id="23" xr3:uid="{00000000-0010-0000-0000-000017000000}" name="ALAE Paid"/>
    <tableColumn id="24" xr3:uid="{00000000-0010-0000-0000-000018000000}" name="Total Incurred + ALAE"/>
    <tableColumn id="25" xr3:uid="{00000000-0010-0000-0000-000019000000}" name="Salvage Recovery"/>
    <tableColumn id="26" xr3:uid="{00000000-0010-0000-0000-00001A000000}" name="Subro Recovery"/>
    <tableColumn id="27" xr3:uid="{00000000-0010-0000-0000-00001B000000}" name="Loss Recovery"/>
    <tableColumn id="28" xr3:uid="{00000000-0010-0000-0000-00001C000000}" name="Deductible Recovery"/>
    <tableColumn id="29" xr3:uid="{00000000-0010-0000-0000-00001D000000}" name="Expense Recovery"/>
    <tableColumn id="30" xr3:uid="{00000000-0010-0000-0000-00001E000000}" name="Litigation Status"/>
    <tableColumn id="31" xr3:uid="{00000000-0010-0000-0000-00001F000000}" name="Cause Of Loss"/>
    <tableColumn id="32" xr3:uid="{00000000-0010-0000-0000-000020000000}" name="Description of Loss"/>
    <tableColumn id="33" xr3:uid="{00000000-0010-0000-0000-000021000000}" name="Contributing Factor"/>
    <tableColumn id="34" xr3:uid="{00000000-0010-0000-0000-000022000000}" name="Product"/>
    <tableColumn id="35" xr3:uid="{00000000-0010-0000-0000-000023000000}" name="Manufacturer"/>
    <tableColumn id="36" xr3:uid="{00000000-0010-0000-0000-000024000000}" name="Policy Region Description"/>
    <tableColumn id="37" xr3:uid="{00000000-0010-0000-0000-000025000000}" name="Policy Holder Retailer Desc"/>
    <tableColumn id="38" xr3:uid="{00000000-0010-0000-0000-000026000000}" name="Policy Holder Claim Number"/>
    <tableColumn id="39" xr3:uid="{00000000-0010-0000-0000-000027000000}" name="Occupation"/>
    <tableColumn id="40" xr3:uid="{00000000-0010-0000-0000-000028000000}" name="Accident Day Of Week"/>
    <tableColumn id="41" xr3:uid="{00000000-0010-0000-0000-000029000000}" name="Insured Driver"/>
    <tableColumn id="42" xr3:uid="{00000000-0010-0000-0000-00002A000000}" name="Total Loss Indicator"/>
    <tableColumn id="43" xr3:uid="{00000000-0010-0000-0000-00002B000000}" name="Vehicle Year"/>
    <tableColumn id="44" xr3:uid="{00000000-0010-0000-0000-00002C000000}" name="Vehicle Manufacturer"/>
    <tableColumn id="45" xr3:uid="{00000000-0010-0000-0000-00002D000000}" name="Vehicle Model"/>
    <tableColumn id="46" xr3:uid="{00000000-0010-0000-0000-00002E000000}" name="Vehicle ID Number"/>
    <tableColumn id="47" xr3:uid="{00000000-0010-0000-0000-00002F000000}" name="Vehicle License Plate"/>
    <tableColumn id="48" xr3:uid="{00000000-0010-0000-0000-000030000000}" name="Vehicle License State"/>
    <tableColumn id="49" xr3:uid="{00000000-0010-0000-0000-000031000000}" name="Adjuster"/>
    <tableColumn id="50" xr3:uid="{00000000-0010-0000-0000-000032000000}" name="Policy"/>
    <tableColumn id="51" xr3:uid="{00000000-0010-0000-0000-000033000000}" name="Policy Year"/>
    <tableColumn id="52" xr3:uid="{00000000-0010-0000-0000-000034000000}" name="Claims above 50K"/>
    <tableColumn id="53" xr3:uid="{00000000-0010-0000-0000-000035000000}" name="Claim Feature Number"/>
    <tableColumn id="54" xr3:uid="{00000000-0010-0000-0000-000036000000}" name="Total Incurred"/>
    <tableColumn id="55" xr3:uid="{00000000-0010-0000-0000-000037000000}" name="Distinct Claim Helper"/>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cordOnlyData" displayName="RecordOnlyData" ref="A1:AO5" totalsRowShown="0" headerRowDxfId="23" dataDxfId="22">
  <tableColumns count="41">
    <tableColumn id="1" xr3:uid="{00000000-0010-0000-0100-000001000000}" name="Customer Number"/>
    <tableColumn id="2" xr3:uid="{00000000-0010-0000-0100-000002000000}" name="Policy Insured Name"/>
    <tableColumn id="3" xr3:uid="{00000000-0010-0000-0100-000003000000}" name="Claim Number"/>
    <tableColumn id="4" xr3:uid="{00000000-0010-0000-0100-000004000000}" name="Exposure"/>
    <tableColumn id="5" xr3:uid="{00000000-0010-0000-0100-000005000000}" name="Claimant Name"/>
    <tableColumn id="6" xr3:uid="{00000000-0010-0000-0100-000006000000}" name="Account Location Identifier"/>
    <tableColumn id="7" xr3:uid="{00000000-0010-0000-0100-000007000000}" name="Accident State"/>
    <tableColumn id="8" xr3:uid="{00000000-0010-0000-0100-000008000000}" name="Policy Symbol"/>
    <tableColumn id="9" xr3:uid="{00000000-0010-0000-0100-000009000000}" name="Policy Number"/>
    <tableColumn id="10" xr3:uid="{00000000-0010-0000-0100-00000A000000}" name="Policy MOD"/>
    <tableColumn id="11" xr3:uid="{00000000-0010-0000-0100-00000B000000}" name="Policy Effective Date"/>
    <tableColumn id="12" xr3:uid="{00000000-0010-0000-0100-00000C000000}" name="Policy Expiration Date"/>
    <tableColumn id="13" xr3:uid="{00000000-0010-0000-0100-00000D000000}" name="Loss Date"/>
    <tableColumn id="14" xr3:uid="{00000000-0010-0000-0100-00000E000000}" name="Date of Notice"/>
    <tableColumn id="15" xr3:uid="{00000000-0010-0000-0100-00000F000000}" name="Lag Time"/>
    <tableColumn id="16" xr3:uid="{00000000-0010-0000-0100-000010000000}" name="Claim Status"/>
    <tableColumn id="17" xr3:uid="{00000000-0010-0000-0100-000011000000}" name="Claim Closed Date"/>
    <tableColumn id="18" xr3:uid="{00000000-0010-0000-0100-000012000000}" name="Coverage"/>
    <tableColumn id="19" xr3:uid="{00000000-0010-0000-0100-000013000000}" name="Cause Of Loss"/>
    <tableColumn id="20" xr3:uid="{00000000-0010-0000-0100-000014000000}" name="Description of Loss"/>
    <tableColumn id="21" xr3:uid="{00000000-0010-0000-0100-000015000000}" name="Contributing Factor"/>
    <tableColumn id="22" xr3:uid="{00000000-0010-0000-0100-000016000000}" name="Product"/>
    <tableColumn id="23" xr3:uid="{00000000-0010-0000-0100-000017000000}" name="Manufacturer"/>
    <tableColumn id="24" xr3:uid="{00000000-0010-0000-0100-000018000000}" name="Policy Region Description"/>
    <tableColumn id="25" xr3:uid="{00000000-0010-0000-0100-000019000000}" name="Policy Holder Retailer Desc"/>
    <tableColumn id="26" xr3:uid="{00000000-0010-0000-0100-00001A000000}" name="Policy Holder Claim Number"/>
    <tableColumn id="27" xr3:uid="{00000000-0010-0000-0100-00001B000000}" name="Occupation"/>
    <tableColumn id="28" xr3:uid="{00000000-0010-0000-0100-00001C000000}" name="Accident Day Of Week"/>
    <tableColumn id="29" xr3:uid="{00000000-0010-0000-0100-00001D000000}" name="Insured Driver"/>
    <tableColumn id="30" xr3:uid="{00000000-0010-0000-0100-00001E000000}" name="Total Loss Indicator"/>
    <tableColumn id="31" xr3:uid="{00000000-0010-0000-0100-00001F000000}" name="Vehicle Year"/>
    <tableColumn id="32" xr3:uid="{00000000-0010-0000-0100-000020000000}" name="Vehicle Manufacturer"/>
    <tableColumn id="33" xr3:uid="{00000000-0010-0000-0100-000021000000}" name="Vehicle Model"/>
    <tableColumn id="34" xr3:uid="{00000000-0010-0000-0100-000022000000}" name="Vehicle ID Number"/>
    <tableColumn id="35" xr3:uid="{00000000-0010-0000-0100-000023000000}" name="Vehicle License Plate"/>
    <tableColumn id="36" xr3:uid="{00000000-0010-0000-0100-000024000000}" name="Vehicle License State"/>
    <tableColumn id="37" xr3:uid="{00000000-0010-0000-0100-000025000000}" name="Adjuster"/>
    <tableColumn id="38" xr3:uid="{00000000-0010-0000-0100-000026000000}" name="Policy"/>
    <tableColumn id="39" xr3:uid="{00000000-0010-0000-0100-000027000000}" name="Policy Year"/>
    <tableColumn id="40" xr3:uid="{00000000-0010-0000-0100-000028000000}" name="Claim Feature Number"/>
    <tableColumn id="41" xr3:uid="{00000000-0010-0000-0100-000029000000}" name="Distinct Claim Helper"/>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
  <sheetViews>
    <sheetView tabSelected="1" workbookViewId="0">
      <selection activeCell="B2" sqref="B2"/>
    </sheetView>
  </sheetViews>
  <sheetFormatPr defaultColWidth="8.81640625" defaultRowHeight="14.5" x14ac:dyDescent="0.35"/>
  <cols>
    <col min="1" max="1" width="25.1796875" style="12" customWidth="1"/>
    <col min="2" max="2" width="98.1796875" style="12" customWidth="1"/>
    <col min="3" max="3" width="17.1796875" style="12" customWidth="1"/>
    <col min="4" max="4" width="13.81640625" style="12" customWidth="1"/>
    <col min="5" max="5" width="15.26953125" style="12" customWidth="1"/>
    <col min="6" max="6" width="13.54296875" style="12" customWidth="1"/>
    <col min="7" max="7" width="11" style="12" customWidth="1"/>
  </cols>
  <sheetData>
    <row r="1" spans="1:6" ht="129.75" customHeight="1" x14ac:dyDescent="0.35">
      <c r="A1" s="15"/>
      <c r="B1" s="16"/>
    </row>
    <row r="2" spans="1:6" ht="29.25" customHeight="1" x14ac:dyDescent="0.35">
      <c r="A2" s="1" t="s">
        <v>0</v>
      </c>
      <c r="B2" s="2" t="s">
        <v>1</v>
      </c>
    </row>
    <row r="3" spans="1:6" ht="29.25" customHeight="1" x14ac:dyDescent="0.35">
      <c r="A3" s="1" t="s">
        <v>2</v>
      </c>
      <c r="B3" s="2" t="s">
        <v>3</v>
      </c>
    </row>
    <row r="4" spans="1:6" ht="29.25" customHeight="1" x14ac:dyDescent="0.35">
      <c r="A4" s="1" t="s">
        <v>4</v>
      </c>
      <c r="B4" s="7" t="s">
        <v>5</v>
      </c>
    </row>
    <row r="5" spans="1:6" ht="138" customHeight="1" x14ac:dyDescent="0.35">
      <c r="A5" s="13" t="s">
        <v>6</v>
      </c>
      <c r="B5" s="14"/>
      <c r="E5" s="3"/>
    </row>
    <row r="6" spans="1:6" ht="62.25" customHeight="1" x14ac:dyDescent="0.35">
      <c r="A6" s="13" t="s">
        <v>7</v>
      </c>
      <c r="B6" s="14"/>
    </row>
    <row r="8" spans="1:6" x14ac:dyDescent="0.35">
      <c r="F8" s="4"/>
    </row>
    <row r="10" spans="1:6" x14ac:dyDescent="0.35">
      <c r="C10" s="5"/>
    </row>
  </sheetData>
  <mergeCells count="3">
    <mergeCell ref="A6:B6"/>
    <mergeCell ref="A1:B1"/>
    <mergeCell ref="A5:B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4"/>
  <sheetViews>
    <sheetView workbookViewId="0">
      <selection activeCell="A6" sqref="A6"/>
    </sheetView>
  </sheetViews>
  <sheetFormatPr defaultRowHeight="14.5" x14ac:dyDescent="0.35"/>
  <cols>
    <col min="1" max="1" width="16.54296875" style="12" bestFit="1" customWidth="1"/>
    <col min="2" max="2" width="8.453125" style="12" bestFit="1" customWidth="1"/>
    <col min="3" max="3" width="21.7265625" style="12" bestFit="1" customWidth="1"/>
    <col min="4" max="4" width="27.26953125" style="12" bestFit="1" customWidth="1"/>
    <col min="5" max="5" width="16" style="12" bestFit="1" customWidth="1"/>
    <col min="6" max="6" width="15.7265625" style="12" bestFit="1" customWidth="1"/>
    <col min="7" max="7" width="20.453125" style="12" bestFit="1" customWidth="1"/>
    <col min="8" max="8" width="21" style="12" bestFit="1" customWidth="1"/>
    <col min="9" max="9" width="25.26953125" style="12" bestFit="1" customWidth="1"/>
    <col min="10" max="10" width="13" style="12" bestFit="1" customWidth="1"/>
    <col min="11" max="11" width="10.36328125" style="12" bestFit="1" customWidth="1"/>
    <col min="12" max="12" width="13.36328125" style="12" bestFit="1" customWidth="1"/>
    <col min="13" max="13" width="10.36328125" style="12" bestFit="1" customWidth="1"/>
    <col min="14" max="14" width="19.7265625" style="12" bestFit="1" customWidth="1"/>
  </cols>
  <sheetData>
    <row r="1" spans="1:14" x14ac:dyDescent="0.35">
      <c r="A1" s="31" t="s">
        <v>8</v>
      </c>
      <c r="B1" s="32" t="s">
        <v>9</v>
      </c>
    </row>
    <row r="2" spans="1:14" x14ac:dyDescent="0.35">
      <c r="A2" s="31" t="s">
        <v>10</v>
      </c>
      <c r="B2" s="32" t="s">
        <v>9</v>
      </c>
    </row>
    <row r="3" spans="1:14" x14ac:dyDescent="0.35">
      <c r="A3" s="31" t="s">
        <v>11</v>
      </c>
      <c r="B3" s="32" t="s">
        <v>9</v>
      </c>
    </row>
    <row r="4" spans="1:14" x14ac:dyDescent="0.35">
      <c r="A4" s="31" t="s">
        <v>12</v>
      </c>
      <c r="B4" s="32" t="s">
        <v>9</v>
      </c>
    </row>
    <row r="6" spans="1:14" x14ac:dyDescent="0.35">
      <c r="A6" s="17"/>
      <c r="B6" s="18"/>
      <c r="C6" s="18"/>
      <c r="D6" s="18"/>
      <c r="E6" s="18"/>
      <c r="F6" s="18"/>
      <c r="G6" s="18"/>
      <c r="H6" s="18"/>
      <c r="I6" s="18"/>
      <c r="J6" s="19" t="s">
        <v>335</v>
      </c>
      <c r="K6" s="18"/>
      <c r="L6" s="18"/>
      <c r="M6" s="18"/>
      <c r="N6" s="20"/>
    </row>
    <row r="7" spans="1:14" x14ac:dyDescent="0.35">
      <c r="A7" s="33" t="s">
        <v>13</v>
      </c>
      <c r="B7" s="33" t="s">
        <v>14</v>
      </c>
      <c r="C7" s="33" t="s">
        <v>15</v>
      </c>
      <c r="D7" s="33" t="s">
        <v>16</v>
      </c>
      <c r="E7" s="33" t="s">
        <v>17</v>
      </c>
      <c r="F7" s="33" t="s">
        <v>18</v>
      </c>
      <c r="G7" s="33" t="s">
        <v>19</v>
      </c>
      <c r="H7" s="33" t="s">
        <v>20</v>
      </c>
      <c r="I7" s="33" t="s">
        <v>21</v>
      </c>
      <c r="J7" s="33" t="s">
        <v>22</v>
      </c>
      <c r="K7" s="34" t="s">
        <v>23</v>
      </c>
      <c r="L7" s="34" t="s">
        <v>24</v>
      </c>
      <c r="M7" s="34" t="s">
        <v>25</v>
      </c>
      <c r="N7" s="35" t="s">
        <v>26</v>
      </c>
    </row>
    <row r="8" spans="1:14" x14ac:dyDescent="0.35">
      <c r="A8" s="17">
        <v>2025</v>
      </c>
      <c r="B8" s="17" t="s">
        <v>117</v>
      </c>
      <c r="C8" s="21" t="s">
        <v>83</v>
      </c>
      <c r="D8" s="17" t="s">
        <v>336</v>
      </c>
      <c r="E8" s="17" t="s">
        <v>231</v>
      </c>
      <c r="F8" s="17" t="s">
        <v>27</v>
      </c>
      <c r="G8" s="17" t="s">
        <v>74</v>
      </c>
      <c r="H8" s="17" t="s">
        <v>236</v>
      </c>
      <c r="I8" s="17" t="s">
        <v>237</v>
      </c>
      <c r="J8" s="22">
        <v>0</v>
      </c>
      <c r="K8" s="23">
        <v>573.97</v>
      </c>
      <c r="L8" s="23">
        <v>0</v>
      </c>
      <c r="M8" s="23">
        <v>0</v>
      </c>
      <c r="N8" s="24">
        <v>573.97</v>
      </c>
    </row>
    <row r="9" spans="1:14" x14ac:dyDescent="0.35">
      <c r="A9" s="25"/>
      <c r="B9" s="25"/>
      <c r="C9" s="25"/>
      <c r="D9" s="25"/>
      <c r="E9" s="17" t="s">
        <v>308</v>
      </c>
      <c r="F9" s="17" t="s">
        <v>27</v>
      </c>
      <c r="G9" s="17" t="s">
        <v>309</v>
      </c>
      <c r="H9" s="17" t="s">
        <v>313</v>
      </c>
      <c r="I9" s="17" t="s">
        <v>314</v>
      </c>
      <c r="J9" s="22">
        <v>0</v>
      </c>
      <c r="K9" s="23">
        <v>3917.14</v>
      </c>
      <c r="L9" s="23">
        <v>0</v>
      </c>
      <c r="M9" s="23">
        <v>0</v>
      </c>
      <c r="N9" s="24">
        <v>3917.14</v>
      </c>
    </row>
    <row r="10" spans="1:14" x14ac:dyDescent="0.35">
      <c r="A10" s="25"/>
      <c r="B10" s="25"/>
      <c r="C10" s="25"/>
      <c r="D10" s="25"/>
      <c r="E10" s="17" t="s">
        <v>217</v>
      </c>
      <c r="F10" s="17" t="s">
        <v>27</v>
      </c>
      <c r="G10" s="17" t="s">
        <v>74</v>
      </c>
      <c r="H10" s="17" t="s">
        <v>181</v>
      </c>
      <c r="I10" s="17" t="s">
        <v>182</v>
      </c>
      <c r="J10" s="22">
        <v>0</v>
      </c>
      <c r="K10" s="23">
        <v>4181.7299999999996</v>
      </c>
      <c r="L10" s="23">
        <v>0</v>
      </c>
      <c r="M10" s="23">
        <v>0</v>
      </c>
      <c r="N10" s="24">
        <v>4181.7299999999996</v>
      </c>
    </row>
    <row r="11" spans="1:14" x14ac:dyDescent="0.35">
      <c r="A11" s="25"/>
      <c r="B11" s="25"/>
      <c r="C11" s="25"/>
      <c r="D11" s="25"/>
      <c r="E11" s="17" t="s">
        <v>202</v>
      </c>
      <c r="F11" s="17" t="s">
        <v>27</v>
      </c>
      <c r="G11" s="17" t="s">
        <v>74</v>
      </c>
      <c r="H11" s="17" t="s">
        <v>204</v>
      </c>
      <c r="I11" s="17" t="s">
        <v>205</v>
      </c>
      <c r="J11" s="22">
        <v>0</v>
      </c>
      <c r="K11" s="23">
        <v>10385.969999999999</v>
      </c>
      <c r="L11" s="23">
        <v>0</v>
      </c>
      <c r="M11" s="23">
        <v>0</v>
      </c>
      <c r="N11" s="24">
        <v>10385.969999999999</v>
      </c>
    </row>
    <row r="12" spans="1:14" x14ac:dyDescent="0.35">
      <c r="A12" s="25"/>
      <c r="B12" s="25"/>
      <c r="C12" s="25"/>
      <c r="D12" s="25"/>
      <c r="E12" s="17" t="s">
        <v>99</v>
      </c>
      <c r="F12" s="17" t="s">
        <v>27</v>
      </c>
      <c r="G12" s="17" t="s">
        <v>74</v>
      </c>
      <c r="H12" s="17" t="s">
        <v>106</v>
      </c>
      <c r="I12" s="17" t="s">
        <v>107</v>
      </c>
      <c r="J12" s="22">
        <v>0</v>
      </c>
      <c r="K12" s="23">
        <v>0</v>
      </c>
      <c r="L12" s="23">
        <v>0</v>
      </c>
      <c r="M12" s="23">
        <v>0</v>
      </c>
      <c r="N12" s="24">
        <v>0</v>
      </c>
    </row>
    <row r="13" spans="1:14" x14ac:dyDescent="0.35">
      <c r="A13" s="25"/>
      <c r="B13" s="25"/>
      <c r="C13" s="25"/>
      <c r="D13" s="25"/>
      <c r="E13" s="25"/>
      <c r="F13" s="17" t="s">
        <v>76</v>
      </c>
      <c r="G13" s="17" t="s">
        <v>296</v>
      </c>
      <c r="H13" s="17" t="s">
        <v>106</v>
      </c>
      <c r="I13" s="17" t="s">
        <v>107</v>
      </c>
      <c r="J13" s="22">
        <v>0</v>
      </c>
      <c r="K13" s="23">
        <v>2048.54</v>
      </c>
      <c r="L13" s="23">
        <v>0</v>
      </c>
      <c r="M13" s="23">
        <v>0</v>
      </c>
      <c r="N13" s="24">
        <v>2048.54</v>
      </c>
    </row>
    <row r="14" spans="1:14" x14ac:dyDescent="0.35">
      <c r="A14" s="25"/>
      <c r="B14" s="25"/>
      <c r="C14" s="25"/>
      <c r="D14" s="25"/>
      <c r="E14" s="17" t="s">
        <v>177</v>
      </c>
      <c r="F14" s="17" t="s">
        <v>336</v>
      </c>
      <c r="G14" s="17" t="s">
        <v>336</v>
      </c>
      <c r="H14" s="17" t="s">
        <v>181</v>
      </c>
      <c r="I14" s="17" t="s">
        <v>182</v>
      </c>
      <c r="J14" s="22">
        <v>0</v>
      </c>
      <c r="K14" s="23">
        <v>0</v>
      </c>
      <c r="L14" s="23">
        <v>0</v>
      </c>
      <c r="M14" s="23">
        <v>0</v>
      </c>
      <c r="N14" s="24">
        <v>0</v>
      </c>
    </row>
    <row r="15" spans="1:14" x14ac:dyDescent="0.35">
      <c r="A15" s="25"/>
      <c r="B15" s="25"/>
      <c r="C15" s="25"/>
      <c r="D15" s="25"/>
      <c r="E15" s="17" t="s">
        <v>191</v>
      </c>
      <c r="F15" s="17" t="s">
        <v>27</v>
      </c>
      <c r="G15" s="17" t="s">
        <v>74</v>
      </c>
      <c r="H15" s="17" t="s">
        <v>196</v>
      </c>
      <c r="I15" s="17" t="s">
        <v>197</v>
      </c>
      <c r="J15" s="22">
        <v>0</v>
      </c>
      <c r="K15" s="23">
        <v>401.42</v>
      </c>
      <c r="L15" s="23">
        <v>0</v>
      </c>
      <c r="M15" s="23">
        <v>0</v>
      </c>
      <c r="N15" s="24">
        <v>401.42</v>
      </c>
    </row>
    <row r="16" spans="1:14" x14ac:dyDescent="0.35">
      <c r="A16" s="25"/>
      <c r="B16" s="25"/>
      <c r="C16" s="25"/>
      <c r="D16" s="25"/>
      <c r="E16" s="25"/>
      <c r="F16" s="17" t="s">
        <v>76</v>
      </c>
      <c r="G16" s="17" t="s">
        <v>192</v>
      </c>
      <c r="H16" s="17" t="s">
        <v>196</v>
      </c>
      <c r="I16" s="17" t="s">
        <v>197</v>
      </c>
      <c r="J16" s="22">
        <v>0</v>
      </c>
      <c r="K16" s="23">
        <v>0</v>
      </c>
      <c r="L16" s="23">
        <v>0</v>
      </c>
      <c r="M16" s="23">
        <v>0</v>
      </c>
      <c r="N16" s="24">
        <v>0</v>
      </c>
    </row>
    <row r="17" spans="1:14" x14ac:dyDescent="0.35">
      <c r="A17" s="25"/>
      <c r="B17" s="25"/>
      <c r="C17" s="25"/>
      <c r="D17" s="25"/>
      <c r="E17" s="17" t="s">
        <v>245</v>
      </c>
      <c r="F17" s="17" t="s">
        <v>27</v>
      </c>
      <c r="G17" s="17" t="s">
        <v>74</v>
      </c>
      <c r="H17" s="17" t="s">
        <v>249</v>
      </c>
      <c r="I17" s="17" t="s">
        <v>250</v>
      </c>
      <c r="J17" s="22">
        <v>0</v>
      </c>
      <c r="K17" s="23">
        <v>0</v>
      </c>
      <c r="L17" s="23">
        <v>0</v>
      </c>
      <c r="M17" s="23">
        <v>0</v>
      </c>
      <c r="N17" s="24">
        <v>0</v>
      </c>
    </row>
    <row r="18" spans="1:14" x14ac:dyDescent="0.35">
      <c r="A18" s="25"/>
      <c r="B18" s="25"/>
      <c r="C18" s="25"/>
      <c r="D18" s="25"/>
      <c r="E18" s="25"/>
      <c r="F18" s="17" t="s">
        <v>76</v>
      </c>
      <c r="G18" s="17" t="s">
        <v>246</v>
      </c>
      <c r="H18" s="17" t="s">
        <v>249</v>
      </c>
      <c r="I18" s="17" t="s">
        <v>250</v>
      </c>
      <c r="J18" s="22">
        <v>0</v>
      </c>
      <c r="K18" s="23">
        <v>2042.86</v>
      </c>
      <c r="L18" s="23">
        <v>0</v>
      </c>
      <c r="M18" s="23">
        <v>0</v>
      </c>
      <c r="N18" s="24">
        <v>2042.86</v>
      </c>
    </row>
    <row r="19" spans="1:14" x14ac:dyDescent="0.35">
      <c r="A19" s="25"/>
      <c r="B19" s="17" t="s">
        <v>263</v>
      </c>
      <c r="C19" s="21" t="s">
        <v>83</v>
      </c>
      <c r="D19" s="17" t="s">
        <v>78</v>
      </c>
      <c r="E19" s="17" t="s">
        <v>254</v>
      </c>
      <c r="F19" s="17" t="s">
        <v>27</v>
      </c>
      <c r="G19" s="17" t="s">
        <v>255</v>
      </c>
      <c r="H19" s="17" t="s">
        <v>189</v>
      </c>
      <c r="I19" s="17" t="s">
        <v>260</v>
      </c>
      <c r="J19" s="22">
        <v>25000</v>
      </c>
      <c r="K19" s="23">
        <v>0</v>
      </c>
      <c r="L19" s="23">
        <v>5000</v>
      </c>
      <c r="M19" s="23">
        <v>0</v>
      </c>
      <c r="N19" s="24">
        <v>30000</v>
      </c>
    </row>
    <row r="20" spans="1:14" x14ac:dyDescent="0.35">
      <c r="A20" s="25"/>
      <c r="B20" s="25"/>
      <c r="C20" s="25"/>
      <c r="D20" s="25"/>
      <c r="E20" s="17" t="s">
        <v>275</v>
      </c>
      <c r="F20" s="17" t="s">
        <v>27</v>
      </c>
      <c r="G20" s="17" t="s">
        <v>276</v>
      </c>
      <c r="H20" s="17" t="s">
        <v>189</v>
      </c>
      <c r="I20" s="17" t="s">
        <v>260</v>
      </c>
      <c r="J20" s="22">
        <v>99</v>
      </c>
      <c r="K20" s="23">
        <v>0</v>
      </c>
      <c r="L20" s="23">
        <v>0</v>
      </c>
      <c r="M20" s="23">
        <v>0</v>
      </c>
      <c r="N20" s="24">
        <v>99</v>
      </c>
    </row>
    <row r="21" spans="1:14" x14ac:dyDescent="0.35">
      <c r="A21" s="25"/>
      <c r="B21" s="25"/>
      <c r="C21" s="25"/>
      <c r="D21" s="17" t="s">
        <v>336</v>
      </c>
      <c r="E21" s="17" t="s">
        <v>299</v>
      </c>
      <c r="F21" s="17" t="s">
        <v>27</v>
      </c>
      <c r="G21" s="17" t="s">
        <v>300</v>
      </c>
      <c r="H21" s="17" t="s">
        <v>303</v>
      </c>
      <c r="I21" s="17" t="s">
        <v>304</v>
      </c>
      <c r="J21" s="22">
        <v>0</v>
      </c>
      <c r="K21" s="23">
        <v>4683.51</v>
      </c>
      <c r="L21" s="23">
        <v>0</v>
      </c>
      <c r="M21" s="23">
        <v>0</v>
      </c>
      <c r="N21" s="24">
        <v>4683.51</v>
      </c>
    </row>
    <row r="22" spans="1:14" x14ac:dyDescent="0.35">
      <c r="A22" s="25"/>
      <c r="B22" s="17" t="s">
        <v>152</v>
      </c>
      <c r="C22" s="21" t="s">
        <v>83</v>
      </c>
      <c r="D22" s="17" t="s">
        <v>78</v>
      </c>
      <c r="E22" s="17" t="s">
        <v>186</v>
      </c>
      <c r="F22" s="17" t="s">
        <v>336</v>
      </c>
      <c r="G22" s="17" t="s">
        <v>336</v>
      </c>
      <c r="H22" s="17" t="s">
        <v>189</v>
      </c>
      <c r="I22" s="17" t="s">
        <v>150</v>
      </c>
      <c r="J22" s="22">
        <v>0</v>
      </c>
      <c r="K22" s="23">
        <v>0</v>
      </c>
      <c r="L22" s="23">
        <v>0</v>
      </c>
      <c r="M22" s="23">
        <v>0</v>
      </c>
      <c r="N22" s="24">
        <v>0</v>
      </c>
    </row>
    <row r="23" spans="1:14" x14ac:dyDescent="0.35">
      <c r="A23" s="25"/>
      <c r="B23" s="25"/>
      <c r="C23" s="25"/>
      <c r="D23" s="17" t="s">
        <v>143</v>
      </c>
      <c r="E23" s="17" t="s">
        <v>142</v>
      </c>
      <c r="F23" s="17" t="s">
        <v>336</v>
      </c>
      <c r="G23" s="17" t="s">
        <v>336</v>
      </c>
      <c r="H23" s="17" t="s">
        <v>149</v>
      </c>
      <c r="I23" s="17" t="s">
        <v>150</v>
      </c>
      <c r="J23" s="22">
        <v>0</v>
      </c>
      <c r="K23" s="23">
        <v>0</v>
      </c>
      <c r="L23" s="23">
        <v>0</v>
      </c>
      <c r="M23" s="23">
        <v>0</v>
      </c>
      <c r="N23" s="24">
        <v>0</v>
      </c>
    </row>
    <row r="24" spans="1:14" x14ac:dyDescent="0.35">
      <c r="A24" s="25"/>
      <c r="B24" s="17" t="s">
        <v>97</v>
      </c>
      <c r="C24" s="21" t="s">
        <v>83</v>
      </c>
      <c r="D24" s="17" t="s">
        <v>155</v>
      </c>
      <c r="E24" s="17" t="s">
        <v>153</v>
      </c>
      <c r="F24" s="17" t="s">
        <v>27</v>
      </c>
      <c r="G24" s="17" t="s">
        <v>154</v>
      </c>
      <c r="H24" s="17" t="s">
        <v>159</v>
      </c>
      <c r="I24" s="17" t="s">
        <v>91</v>
      </c>
      <c r="J24" s="22">
        <v>0</v>
      </c>
      <c r="K24" s="23">
        <v>0</v>
      </c>
      <c r="L24" s="23">
        <v>0</v>
      </c>
      <c r="M24" s="23">
        <v>0</v>
      </c>
      <c r="N24" s="24">
        <v>0</v>
      </c>
    </row>
    <row r="25" spans="1:14" x14ac:dyDescent="0.35">
      <c r="A25" s="25"/>
      <c r="B25" s="25"/>
      <c r="C25" s="25"/>
      <c r="D25" s="25"/>
      <c r="E25" s="25"/>
      <c r="F25" s="17" t="s">
        <v>76</v>
      </c>
      <c r="G25" s="17" t="s">
        <v>154</v>
      </c>
      <c r="H25" s="17" t="s">
        <v>159</v>
      </c>
      <c r="I25" s="17" t="s">
        <v>91</v>
      </c>
      <c r="J25" s="22">
        <v>0</v>
      </c>
      <c r="K25" s="23">
        <v>0</v>
      </c>
      <c r="L25" s="23">
        <v>0</v>
      </c>
      <c r="M25" s="23">
        <v>0</v>
      </c>
      <c r="N25" s="24">
        <v>0</v>
      </c>
    </row>
    <row r="26" spans="1:14" x14ac:dyDescent="0.35">
      <c r="A26" s="25"/>
      <c r="B26" s="25"/>
      <c r="C26" s="25"/>
      <c r="D26" s="17" t="s">
        <v>78</v>
      </c>
      <c r="E26" s="17" t="s">
        <v>75</v>
      </c>
      <c r="F26" s="17" t="s">
        <v>27</v>
      </c>
      <c r="G26" s="17" t="s">
        <v>77</v>
      </c>
      <c r="H26" s="17" t="s">
        <v>90</v>
      </c>
      <c r="I26" s="17" t="s">
        <v>91</v>
      </c>
      <c r="J26" s="22">
        <v>0</v>
      </c>
      <c r="K26" s="23">
        <v>0</v>
      </c>
      <c r="L26" s="23">
        <v>0</v>
      </c>
      <c r="M26" s="23">
        <v>0</v>
      </c>
      <c r="N26" s="24">
        <v>0</v>
      </c>
    </row>
    <row r="27" spans="1:14" x14ac:dyDescent="0.35">
      <c r="A27" s="25"/>
      <c r="B27" s="25"/>
      <c r="C27" s="25"/>
      <c r="D27" s="25"/>
      <c r="E27" s="25"/>
      <c r="F27" s="17" t="s">
        <v>76</v>
      </c>
      <c r="G27" s="17" t="s">
        <v>77</v>
      </c>
      <c r="H27" s="17" t="s">
        <v>90</v>
      </c>
      <c r="I27" s="17" t="s">
        <v>91</v>
      </c>
      <c r="J27" s="22">
        <v>0</v>
      </c>
      <c r="K27" s="23">
        <v>540.64</v>
      </c>
      <c r="L27" s="23">
        <v>0</v>
      </c>
      <c r="M27" s="23">
        <v>16.75</v>
      </c>
      <c r="N27" s="24">
        <v>557.39</v>
      </c>
    </row>
    <row r="28" spans="1:14" x14ac:dyDescent="0.35">
      <c r="A28" s="25"/>
      <c r="B28" s="25"/>
      <c r="C28" s="25"/>
      <c r="D28" s="25"/>
      <c r="E28" s="17" t="s">
        <v>136</v>
      </c>
      <c r="F28" s="17" t="s">
        <v>27</v>
      </c>
      <c r="G28" s="17" t="s">
        <v>137</v>
      </c>
      <c r="H28" s="17" t="s">
        <v>90</v>
      </c>
      <c r="I28" s="17" t="s">
        <v>91</v>
      </c>
      <c r="J28" s="22">
        <v>0</v>
      </c>
      <c r="K28" s="23">
        <v>0</v>
      </c>
      <c r="L28" s="23">
        <v>0</v>
      </c>
      <c r="M28" s="23">
        <v>0</v>
      </c>
      <c r="N28" s="24">
        <v>0</v>
      </c>
    </row>
    <row r="29" spans="1:14" x14ac:dyDescent="0.35">
      <c r="A29" s="25"/>
      <c r="B29" s="25"/>
      <c r="C29" s="25"/>
      <c r="D29" s="25"/>
      <c r="E29" s="25"/>
      <c r="F29" s="17" t="s">
        <v>76</v>
      </c>
      <c r="G29" s="17" t="s">
        <v>137</v>
      </c>
      <c r="H29" s="17" t="s">
        <v>90</v>
      </c>
      <c r="I29" s="17" t="s">
        <v>91</v>
      </c>
      <c r="J29" s="22">
        <v>0</v>
      </c>
      <c r="K29" s="23">
        <v>1163.79</v>
      </c>
      <c r="L29" s="23">
        <v>0</v>
      </c>
      <c r="M29" s="23">
        <v>40.15</v>
      </c>
      <c r="N29" s="24">
        <v>1203.94</v>
      </c>
    </row>
    <row r="30" spans="1:14" x14ac:dyDescent="0.35">
      <c r="A30" s="25"/>
      <c r="B30" s="25"/>
      <c r="C30" s="25"/>
      <c r="D30" s="25"/>
      <c r="E30" s="17" t="s">
        <v>133</v>
      </c>
      <c r="F30" s="17" t="s">
        <v>27</v>
      </c>
      <c r="G30" s="17" t="s">
        <v>134</v>
      </c>
      <c r="H30" s="17" t="s">
        <v>90</v>
      </c>
      <c r="I30" s="17" t="s">
        <v>91</v>
      </c>
      <c r="J30" s="22">
        <v>0</v>
      </c>
      <c r="K30" s="23">
        <v>0</v>
      </c>
      <c r="L30" s="23">
        <v>0</v>
      </c>
      <c r="M30" s="23">
        <v>0</v>
      </c>
      <c r="N30" s="24">
        <v>0</v>
      </c>
    </row>
    <row r="31" spans="1:14" x14ac:dyDescent="0.35">
      <c r="A31" s="25"/>
      <c r="B31" s="25"/>
      <c r="C31" s="25"/>
      <c r="D31" s="25"/>
      <c r="E31" s="25"/>
      <c r="F31" s="17" t="s">
        <v>76</v>
      </c>
      <c r="G31" s="17" t="s">
        <v>134</v>
      </c>
      <c r="H31" s="17" t="s">
        <v>90</v>
      </c>
      <c r="I31" s="17" t="s">
        <v>91</v>
      </c>
      <c r="J31" s="22">
        <v>0</v>
      </c>
      <c r="K31" s="23">
        <v>893.3</v>
      </c>
      <c r="L31" s="23">
        <v>0</v>
      </c>
      <c r="M31" s="23">
        <v>23.25</v>
      </c>
      <c r="N31" s="24">
        <v>916.55</v>
      </c>
    </row>
    <row r="32" spans="1:14" x14ac:dyDescent="0.35">
      <c r="A32" s="25"/>
      <c r="B32" s="25"/>
      <c r="C32" s="25"/>
      <c r="D32" s="25"/>
      <c r="E32" s="17" t="s">
        <v>129</v>
      </c>
      <c r="F32" s="17" t="s">
        <v>27</v>
      </c>
      <c r="G32" s="17" t="s">
        <v>130</v>
      </c>
      <c r="H32" s="17" t="s">
        <v>90</v>
      </c>
      <c r="I32" s="17" t="s">
        <v>91</v>
      </c>
      <c r="J32" s="22">
        <v>0</v>
      </c>
      <c r="K32" s="23">
        <v>0</v>
      </c>
      <c r="L32" s="23">
        <v>0</v>
      </c>
      <c r="M32" s="23">
        <v>0</v>
      </c>
      <c r="N32" s="24">
        <v>0</v>
      </c>
    </row>
    <row r="33" spans="1:14" x14ac:dyDescent="0.35">
      <c r="A33" s="25"/>
      <c r="B33" s="25"/>
      <c r="C33" s="25"/>
      <c r="D33" s="25"/>
      <c r="E33" s="25"/>
      <c r="F33" s="17" t="s">
        <v>76</v>
      </c>
      <c r="G33" s="17" t="s">
        <v>130</v>
      </c>
      <c r="H33" s="17" t="s">
        <v>90</v>
      </c>
      <c r="I33" s="17" t="s">
        <v>91</v>
      </c>
      <c r="J33" s="22">
        <v>0</v>
      </c>
      <c r="K33" s="23">
        <v>1044.69</v>
      </c>
      <c r="L33" s="23">
        <v>0</v>
      </c>
      <c r="M33" s="23">
        <v>33.5</v>
      </c>
      <c r="N33" s="24">
        <v>1078.19</v>
      </c>
    </row>
    <row r="34" spans="1:14" x14ac:dyDescent="0.35">
      <c r="A34" s="25"/>
      <c r="B34" s="25"/>
      <c r="C34" s="25"/>
      <c r="D34" s="25"/>
      <c r="E34" s="17" t="s">
        <v>228</v>
      </c>
      <c r="F34" s="17" t="s">
        <v>27</v>
      </c>
      <c r="G34" s="17" t="s">
        <v>229</v>
      </c>
      <c r="H34" s="17" t="s">
        <v>90</v>
      </c>
      <c r="I34" s="17" t="s">
        <v>91</v>
      </c>
      <c r="J34" s="22">
        <v>0</v>
      </c>
      <c r="K34" s="23">
        <v>0</v>
      </c>
      <c r="L34" s="23">
        <v>0</v>
      </c>
      <c r="M34" s="23">
        <v>0</v>
      </c>
      <c r="N34" s="24">
        <v>0</v>
      </c>
    </row>
    <row r="35" spans="1:14" x14ac:dyDescent="0.35">
      <c r="A35" s="25"/>
      <c r="B35" s="25"/>
      <c r="C35" s="25"/>
      <c r="D35" s="25"/>
      <c r="E35" s="25"/>
      <c r="F35" s="17" t="s">
        <v>76</v>
      </c>
      <c r="G35" s="17" t="s">
        <v>229</v>
      </c>
      <c r="H35" s="17" t="s">
        <v>90</v>
      </c>
      <c r="I35" s="17" t="s">
        <v>91</v>
      </c>
      <c r="J35" s="22">
        <v>0</v>
      </c>
      <c r="K35" s="23">
        <v>0</v>
      </c>
      <c r="L35" s="23">
        <v>0</v>
      </c>
      <c r="M35" s="23">
        <v>16.75</v>
      </c>
      <c r="N35" s="24">
        <v>16.75</v>
      </c>
    </row>
    <row r="36" spans="1:14" x14ac:dyDescent="0.35">
      <c r="A36" s="25"/>
      <c r="B36" s="25"/>
      <c r="C36" s="25"/>
      <c r="D36" s="17" t="s">
        <v>121</v>
      </c>
      <c r="E36" s="17" t="s">
        <v>265</v>
      </c>
      <c r="F36" s="17" t="s">
        <v>27</v>
      </c>
      <c r="G36" s="17" t="s">
        <v>120</v>
      </c>
      <c r="H36" s="17" t="s">
        <v>269</v>
      </c>
      <c r="I36" s="17" t="s">
        <v>91</v>
      </c>
      <c r="J36" s="22">
        <v>0</v>
      </c>
      <c r="K36" s="23">
        <v>3263.94</v>
      </c>
      <c r="L36" s="23">
        <v>0</v>
      </c>
      <c r="M36" s="23">
        <v>450</v>
      </c>
      <c r="N36" s="24">
        <v>3713.94</v>
      </c>
    </row>
    <row r="37" spans="1:14" x14ac:dyDescent="0.35">
      <c r="A37" s="25"/>
      <c r="B37" s="25"/>
      <c r="C37" s="25"/>
      <c r="D37" s="25"/>
      <c r="E37" s="25"/>
      <c r="F37" s="17" t="s">
        <v>76</v>
      </c>
      <c r="G37" s="17" t="s">
        <v>120</v>
      </c>
      <c r="H37" s="17" t="s">
        <v>269</v>
      </c>
      <c r="I37" s="17" t="s">
        <v>91</v>
      </c>
      <c r="J37" s="22">
        <v>0</v>
      </c>
      <c r="K37" s="23">
        <v>3101.61</v>
      </c>
      <c r="L37" s="23">
        <v>0</v>
      </c>
      <c r="M37" s="23">
        <v>584.02</v>
      </c>
      <c r="N37" s="24">
        <v>3685.63</v>
      </c>
    </row>
    <row r="38" spans="1:14" x14ac:dyDescent="0.35">
      <c r="A38" s="25"/>
      <c r="B38" s="25"/>
      <c r="C38" s="25"/>
      <c r="D38" s="25"/>
      <c r="E38" s="17" t="s">
        <v>119</v>
      </c>
      <c r="F38" s="17" t="s">
        <v>27</v>
      </c>
      <c r="G38" s="17" t="s">
        <v>120</v>
      </c>
      <c r="H38" s="17" t="s">
        <v>124</v>
      </c>
      <c r="I38" s="17" t="s">
        <v>91</v>
      </c>
      <c r="J38" s="22">
        <v>6731.39</v>
      </c>
      <c r="K38" s="23">
        <v>8268.61</v>
      </c>
      <c r="L38" s="23">
        <v>6244.07</v>
      </c>
      <c r="M38" s="23">
        <v>1755.93</v>
      </c>
      <c r="N38" s="24">
        <v>23000</v>
      </c>
    </row>
    <row r="39" spans="1:14" x14ac:dyDescent="0.35">
      <c r="A39" s="25"/>
      <c r="B39" s="25"/>
      <c r="C39" s="25"/>
      <c r="D39" s="25"/>
      <c r="E39" s="25"/>
      <c r="F39" s="17" t="s">
        <v>76</v>
      </c>
      <c r="G39" s="17" t="s">
        <v>120</v>
      </c>
      <c r="H39" s="17" t="s">
        <v>124</v>
      </c>
      <c r="I39" s="17" t="s">
        <v>91</v>
      </c>
      <c r="J39" s="22">
        <v>3987.81</v>
      </c>
      <c r="K39" s="23">
        <v>9764.7099999999991</v>
      </c>
      <c r="L39" s="23">
        <v>0</v>
      </c>
      <c r="M39" s="23">
        <v>1136.33</v>
      </c>
      <c r="N39" s="24">
        <v>14888.85</v>
      </c>
    </row>
    <row r="40" spans="1:14" x14ac:dyDescent="0.35">
      <c r="A40" s="25"/>
      <c r="B40" s="25"/>
      <c r="C40" s="25"/>
      <c r="D40" s="17" t="s">
        <v>283</v>
      </c>
      <c r="E40" s="17" t="s">
        <v>281</v>
      </c>
      <c r="F40" s="17" t="s">
        <v>27</v>
      </c>
      <c r="G40" s="17" t="s">
        <v>282</v>
      </c>
      <c r="H40" s="17" t="s">
        <v>159</v>
      </c>
      <c r="I40" s="17" t="s">
        <v>287</v>
      </c>
      <c r="J40" s="22">
        <v>0</v>
      </c>
      <c r="K40" s="23">
        <v>0</v>
      </c>
      <c r="L40" s="23">
        <v>0</v>
      </c>
      <c r="M40" s="23">
        <v>0</v>
      </c>
      <c r="N40" s="24">
        <v>0</v>
      </c>
    </row>
    <row r="41" spans="1:14" x14ac:dyDescent="0.35">
      <c r="A41" s="25"/>
      <c r="B41" s="25"/>
      <c r="C41" s="25"/>
      <c r="D41" s="25"/>
      <c r="E41" s="25"/>
      <c r="F41" s="17" t="s">
        <v>76</v>
      </c>
      <c r="G41" s="17" t="s">
        <v>282</v>
      </c>
      <c r="H41" s="17" t="s">
        <v>159</v>
      </c>
      <c r="I41" s="17" t="s">
        <v>287</v>
      </c>
      <c r="J41" s="22">
        <v>0</v>
      </c>
      <c r="K41" s="23">
        <v>773.04</v>
      </c>
      <c r="L41" s="23">
        <v>0</v>
      </c>
      <c r="M41" s="23">
        <v>17.89</v>
      </c>
      <c r="N41" s="24">
        <v>790.93</v>
      </c>
    </row>
    <row r="42" spans="1:14" x14ac:dyDescent="0.35">
      <c r="A42" s="25"/>
      <c r="B42" s="25"/>
      <c r="C42" s="25"/>
      <c r="D42" s="17" t="s">
        <v>166</v>
      </c>
      <c r="E42" s="17" t="s">
        <v>164</v>
      </c>
      <c r="F42" s="17" t="s">
        <v>27</v>
      </c>
      <c r="G42" s="17" t="s">
        <v>165</v>
      </c>
      <c r="H42" s="17" t="s">
        <v>170</v>
      </c>
      <c r="I42" s="17" t="s">
        <v>171</v>
      </c>
      <c r="J42" s="22">
        <v>0</v>
      </c>
      <c r="K42" s="23">
        <v>0</v>
      </c>
      <c r="L42" s="23">
        <v>0</v>
      </c>
      <c r="M42" s="23">
        <v>0</v>
      </c>
      <c r="N42" s="24">
        <v>0</v>
      </c>
    </row>
    <row r="43" spans="1:14" x14ac:dyDescent="0.35">
      <c r="A43" s="25"/>
      <c r="B43" s="25"/>
      <c r="C43" s="25"/>
      <c r="D43" s="25"/>
      <c r="E43" s="25"/>
      <c r="F43" s="17" t="s">
        <v>76</v>
      </c>
      <c r="G43" s="17" t="s">
        <v>165</v>
      </c>
      <c r="H43" s="17" t="s">
        <v>170</v>
      </c>
      <c r="I43" s="17" t="s">
        <v>171</v>
      </c>
      <c r="J43" s="22">
        <v>0</v>
      </c>
      <c r="K43" s="23">
        <v>0</v>
      </c>
      <c r="L43" s="23">
        <v>0</v>
      </c>
      <c r="M43" s="23">
        <v>0</v>
      </c>
      <c r="N43" s="24">
        <v>0</v>
      </c>
    </row>
    <row r="44" spans="1:14" x14ac:dyDescent="0.35">
      <c r="A44" s="26" t="s">
        <v>337</v>
      </c>
      <c r="B44" s="27"/>
      <c r="C44" s="27"/>
      <c r="D44" s="27"/>
      <c r="E44" s="27"/>
      <c r="F44" s="27"/>
      <c r="G44" s="27"/>
      <c r="H44" s="27"/>
      <c r="I44" s="27"/>
      <c r="J44" s="28">
        <v>35818.199999999997</v>
      </c>
      <c r="K44" s="29">
        <v>57049.47</v>
      </c>
      <c r="L44" s="29">
        <v>11244.07</v>
      </c>
      <c r="M44" s="29">
        <v>4074.57</v>
      </c>
      <c r="N44" s="30">
        <v>108186.31000000001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G38" sqref="G38"/>
    </sheetView>
  </sheetViews>
  <sheetFormatPr defaultRowHeight="14.5" x14ac:dyDescent="0.35"/>
  <cols>
    <col min="1" max="1" width="12.453125" style="12" bestFit="1" customWidth="1"/>
    <col min="2" max="2" width="15.90625" style="12" bestFit="1" customWidth="1"/>
    <col min="3" max="3" width="18.7265625" style="12" bestFit="1" customWidth="1"/>
  </cols>
  <sheetData>
    <row r="1" spans="1:3" x14ac:dyDescent="0.35">
      <c r="A1"/>
      <c r="B1" s="8" t="s">
        <v>335</v>
      </c>
      <c r="C1"/>
    </row>
    <row r="2" spans="1:3" x14ac:dyDescent="0.35">
      <c r="A2" s="8" t="s">
        <v>28</v>
      </c>
      <c r="B2" s="12" t="s">
        <v>29</v>
      </c>
      <c r="C2" s="12" t="s">
        <v>30</v>
      </c>
    </row>
    <row r="3" spans="1:3" x14ac:dyDescent="0.35">
      <c r="A3" s="11">
        <v>2025</v>
      </c>
      <c r="B3" s="36">
        <v>23</v>
      </c>
      <c r="C3" s="6">
        <v>92867.669999999969</v>
      </c>
    </row>
    <row r="4" spans="1:3" x14ac:dyDescent="0.35">
      <c r="A4" s="11" t="s">
        <v>31</v>
      </c>
      <c r="B4" s="36">
        <v>23</v>
      </c>
      <c r="C4" s="6">
        <v>92867.669999999969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F37"/>
  <sheetViews>
    <sheetView workbookViewId="0">
      <selection activeCell="A2" sqref="A2"/>
    </sheetView>
  </sheetViews>
  <sheetFormatPr defaultRowHeight="14.5" x14ac:dyDescent="0.35"/>
  <cols>
    <col min="1" max="1" width="20.26953125" style="12" bestFit="1" customWidth="1"/>
    <col min="2" max="2" width="22" style="12" bestFit="1" customWidth="1"/>
    <col min="3" max="3" width="16.453125" style="12" bestFit="1" customWidth="1"/>
    <col min="4" max="4" width="11.7265625" style="12" bestFit="1" customWidth="1"/>
    <col min="5" max="5" width="17.26953125" style="12" bestFit="1" customWidth="1"/>
    <col min="6" max="6" width="28.1796875" style="12" bestFit="1" customWidth="1"/>
    <col min="7" max="7" width="16.453125" style="12" bestFit="1" customWidth="1"/>
    <col min="8" max="8" width="16" style="12" bestFit="1" customWidth="1"/>
    <col min="9" max="9" width="16.54296875" style="12" bestFit="1" customWidth="1"/>
    <col min="10" max="10" width="13.54296875" style="12" bestFit="1" customWidth="1"/>
    <col min="11" max="11" width="22.26953125" style="12" bestFit="1" customWidth="1"/>
    <col min="12" max="12" width="23.26953125" style="12" bestFit="1" customWidth="1"/>
    <col min="13" max="13" width="12.1796875" style="12" bestFit="1" customWidth="1"/>
    <col min="14" max="14" width="16.453125" style="12" bestFit="1" customWidth="1"/>
    <col min="15" max="15" width="11.1796875" style="12" bestFit="1" customWidth="1"/>
    <col min="16" max="16" width="14.7265625" style="12" bestFit="1" customWidth="1"/>
    <col min="17" max="17" width="20.453125" style="12" bestFit="1" customWidth="1"/>
    <col min="18" max="18" width="11.81640625" style="12" bestFit="1" customWidth="1"/>
    <col min="19" max="19" width="27.1796875" style="12" bestFit="1" customWidth="1"/>
    <col min="20" max="20" width="48.54296875" style="12" bestFit="1" customWidth="1"/>
    <col min="21" max="21" width="19.7265625" style="12" bestFit="1" customWidth="1"/>
    <col min="22" max="22" width="15.7265625" style="12" bestFit="1" customWidth="1"/>
    <col min="23" max="23" width="12" style="12" bestFit="1" customWidth="1"/>
    <col min="24" max="24" width="22.26953125" style="12" bestFit="1" customWidth="1"/>
    <col min="25" max="25" width="19.1796875" style="12" bestFit="1" customWidth="1"/>
    <col min="26" max="26" width="17.54296875" style="12" bestFit="1" customWidth="1"/>
    <col min="27" max="27" width="16.453125" style="12" bestFit="1" customWidth="1"/>
    <col min="28" max="28" width="22.453125" style="12" bestFit="1" customWidth="1"/>
    <col min="29" max="29" width="20.1796875" style="12" bestFit="1" customWidth="1"/>
    <col min="30" max="30" width="18" style="12" bestFit="1" customWidth="1"/>
    <col min="31" max="31" width="16.26953125" style="12" bestFit="1" customWidth="1"/>
    <col min="32" max="33" width="21" style="12" bestFit="1" customWidth="1"/>
    <col min="34" max="34" width="10.26953125" style="12" bestFit="1" customWidth="1"/>
    <col min="35" max="35" width="15.453125" style="12" bestFit="1" customWidth="1"/>
    <col min="36" max="36" width="26.81640625" style="12" bestFit="1" customWidth="1"/>
    <col min="37" max="37" width="28.453125" style="12" bestFit="1" customWidth="1"/>
    <col min="38" max="38" width="29.26953125" style="12" bestFit="1" customWidth="1"/>
    <col min="39" max="39" width="13.54296875" style="12" bestFit="1" customWidth="1"/>
    <col min="40" max="40" width="23.453125" style="12" bestFit="1" customWidth="1"/>
    <col min="41" max="41" width="16.26953125" style="12" bestFit="1" customWidth="1"/>
    <col min="42" max="42" width="21" style="12" bestFit="1" customWidth="1"/>
    <col min="43" max="43" width="14.453125" style="12" bestFit="1" customWidth="1"/>
    <col min="44" max="44" width="22.7265625" style="12" bestFit="1" customWidth="1"/>
    <col min="45" max="45" width="16.1796875" style="12" bestFit="1" customWidth="1"/>
    <col min="46" max="46" width="20.453125" style="12" bestFit="1" customWidth="1"/>
    <col min="47" max="47" width="22.7265625" style="12" bestFit="1" customWidth="1"/>
    <col min="48" max="48" width="22.81640625" style="12" bestFit="1" customWidth="1"/>
    <col min="49" max="49" width="10.81640625" style="12" bestFit="1" customWidth="1"/>
    <col min="50" max="50" width="23" style="12" bestFit="1" customWidth="1"/>
    <col min="51" max="51" width="8.7265625" style="12" bestFit="1" customWidth="1"/>
    <col min="52" max="52" width="13.1796875" style="12" bestFit="1" customWidth="1"/>
    <col min="53" max="53" width="19.1796875" style="12" bestFit="1" customWidth="1"/>
    <col min="54" max="54" width="24" style="12" bestFit="1" customWidth="1"/>
    <col min="55" max="55" width="15.81640625" style="12" bestFit="1" customWidth="1"/>
    <col min="56" max="56" width="23" style="12" bestFit="1" customWidth="1"/>
    <col min="57" max="58" width="8.81640625" style="12" customWidth="1"/>
  </cols>
  <sheetData>
    <row r="1" spans="1:55" x14ac:dyDescent="0.35">
      <c r="A1" t="s">
        <v>32</v>
      </c>
      <c r="B1" t="s">
        <v>33</v>
      </c>
      <c r="C1" t="s">
        <v>17</v>
      </c>
      <c r="D1" t="s">
        <v>18</v>
      </c>
      <c r="E1" t="s">
        <v>19</v>
      </c>
      <c r="F1" t="s">
        <v>16</v>
      </c>
      <c r="G1" t="s">
        <v>34</v>
      </c>
      <c r="H1" t="s">
        <v>8</v>
      </c>
      <c r="I1" t="s">
        <v>35</v>
      </c>
      <c r="J1" t="s">
        <v>36</v>
      </c>
      <c r="K1" t="s">
        <v>15</v>
      </c>
      <c r="L1" t="s">
        <v>37</v>
      </c>
      <c r="M1" t="s">
        <v>38</v>
      </c>
      <c r="N1" t="s">
        <v>39</v>
      </c>
      <c r="O1" t="s">
        <v>40</v>
      </c>
      <c r="P1" t="s">
        <v>10</v>
      </c>
      <c r="Q1" t="s">
        <v>41</v>
      </c>
      <c r="R1" t="s">
        <v>42</v>
      </c>
      <c r="S1" t="s">
        <v>43</v>
      </c>
      <c r="T1" t="s">
        <v>44</v>
      </c>
      <c r="U1" t="s">
        <v>45</v>
      </c>
      <c r="V1" t="s">
        <v>46</v>
      </c>
      <c r="W1" t="s">
        <v>47</v>
      </c>
      <c r="X1" t="s">
        <v>48</v>
      </c>
      <c r="Y1" t="s">
        <v>49</v>
      </c>
      <c r="Z1" t="s">
        <v>50</v>
      </c>
      <c r="AA1" t="s">
        <v>51</v>
      </c>
      <c r="AB1" t="s">
        <v>52</v>
      </c>
      <c r="AC1" t="s">
        <v>53</v>
      </c>
      <c r="AD1" t="s">
        <v>11</v>
      </c>
      <c r="AE1" t="s">
        <v>20</v>
      </c>
      <c r="AF1" t="s">
        <v>21</v>
      </c>
      <c r="AG1" t="s">
        <v>54</v>
      </c>
      <c r="AH1" t="s">
        <v>55</v>
      </c>
      <c r="AI1" t="s">
        <v>56</v>
      </c>
      <c r="AJ1" t="s">
        <v>57</v>
      </c>
      <c r="AK1" t="s">
        <v>58</v>
      </c>
      <c r="AL1" t="s">
        <v>59</v>
      </c>
      <c r="AM1" t="s">
        <v>60</v>
      </c>
      <c r="AN1" t="s">
        <v>61</v>
      </c>
      <c r="AO1" t="s">
        <v>62</v>
      </c>
      <c r="AP1" t="s">
        <v>63</v>
      </c>
      <c r="AQ1" t="s">
        <v>64</v>
      </c>
      <c r="AR1" t="s">
        <v>65</v>
      </c>
      <c r="AS1" t="s">
        <v>66</v>
      </c>
      <c r="AT1" t="s">
        <v>67</v>
      </c>
      <c r="AU1" t="s">
        <v>68</v>
      </c>
      <c r="AV1" t="s">
        <v>69</v>
      </c>
      <c r="AW1" t="s">
        <v>70</v>
      </c>
      <c r="AX1" t="s">
        <v>14</v>
      </c>
      <c r="AY1" t="s">
        <v>13</v>
      </c>
      <c r="AZ1" t="s">
        <v>12</v>
      </c>
      <c r="BA1" t="s">
        <v>71</v>
      </c>
      <c r="BB1" t="s">
        <v>72</v>
      </c>
      <c r="BC1" t="s">
        <v>73</v>
      </c>
    </row>
    <row r="2" spans="1:55" x14ac:dyDescent="0.35">
      <c r="A2" t="s">
        <v>1</v>
      </c>
      <c r="B2" t="s">
        <v>74</v>
      </c>
      <c r="C2" t="s">
        <v>75</v>
      </c>
      <c r="D2" t="s">
        <v>76</v>
      </c>
      <c r="E2" t="s">
        <v>77</v>
      </c>
      <c r="F2" t="s">
        <v>78</v>
      </c>
      <c r="G2" t="s">
        <v>79</v>
      </c>
      <c r="H2" t="s">
        <v>80</v>
      </c>
      <c r="I2" t="s">
        <v>81</v>
      </c>
      <c r="J2" t="s">
        <v>82</v>
      </c>
      <c r="K2" s="10" t="s">
        <v>83</v>
      </c>
      <c r="L2" s="10" t="s">
        <v>84</v>
      </c>
      <c r="M2" s="10" t="s">
        <v>85</v>
      </c>
      <c r="N2" s="10" t="s">
        <v>86</v>
      </c>
      <c r="O2">
        <v>2</v>
      </c>
      <c r="P2" t="s">
        <v>87</v>
      </c>
      <c r="Q2" s="10" t="s">
        <v>88</v>
      </c>
      <c r="R2" t="s">
        <v>89</v>
      </c>
      <c r="S2">
        <v>0</v>
      </c>
      <c r="T2">
        <v>540.64</v>
      </c>
      <c r="U2">
        <v>540.64</v>
      </c>
      <c r="V2">
        <v>0</v>
      </c>
      <c r="W2">
        <v>16.75</v>
      </c>
      <c r="X2">
        <v>557.39</v>
      </c>
      <c r="Y2">
        <v>0</v>
      </c>
      <c r="Z2">
        <v>0</v>
      </c>
      <c r="AA2">
        <v>0</v>
      </c>
      <c r="AB2">
        <v>0</v>
      </c>
      <c r="AC2">
        <v>0</v>
      </c>
      <c r="AE2" t="s">
        <v>90</v>
      </c>
      <c r="AF2" t="s">
        <v>91</v>
      </c>
      <c r="AG2" t="s">
        <v>92</v>
      </c>
      <c r="AL2"/>
      <c r="AM2" t="s">
        <v>93</v>
      </c>
      <c r="AN2" t="s">
        <v>94</v>
      </c>
      <c r="AO2" t="s">
        <v>95</v>
      </c>
      <c r="AW2" t="s">
        <v>96</v>
      </c>
      <c r="AX2" t="s">
        <v>97</v>
      </c>
      <c r="AY2">
        <v>2025</v>
      </c>
      <c r="AZ2">
        <v>0</v>
      </c>
      <c r="BA2" t="s">
        <v>98</v>
      </c>
      <c r="BB2">
        <v>540.64</v>
      </c>
      <c r="BC2" s="9">
        <v>1</v>
      </c>
    </row>
    <row r="3" spans="1:55" x14ac:dyDescent="0.35">
      <c r="A3" t="s">
        <v>1</v>
      </c>
      <c r="B3" t="s">
        <v>74</v>
      </c>
      <c r="C3" t="s">
        <v>99</v>
      </c>
      <c r="D3" t="s">
        <v>27</v>
      </c>
      <c r="E3" t="s">
        <v>74</v>
      </c>
      <c r="G3" t="s">
        <v>100</v>
      </c>
      <c r="H3" t="s">
        <v>101</v>
      </c>
      <c r="I3" t="s">
        <v>102</v>
      </c>
      <c r="J3" t="s">
        <v>82</v>
      </c>
      <c r="K3" t="s">
        <v>83</v>
      </c>
      <c r="L3" t="s">
        <v>84</v>
      </c>
      <c r="M3" t="s">
        <v>103</v>
      </c>
      <c r="N3" t="s">
        <v>103</v>
      </c>
      <c r="O3">
        <v>0</v>
      </c>
      <c r="P3" t="s">
        <v>104</v>
      </c>
      <c r="R3" t="s">
        <v>105</v>
      </c>
      <c r="S3">
        <v>0</v>
      </c>
      <c r="T3">
        <v>0</v>
      </c>
      <c r="U3">
        <v>0</v>
      </c>
      <c r="V3">
        <v>0</v>
      </c>
      <c r="W3">
        <v>0</v>
      </c>
      <c r="X3">
        <v>0</v>
      </c>
      <c r="Y3">
        <v>0</v>
      </c>
      <c r="Z3">
        <v>0</v>
      </c>
      <c r="AA3">
        <v>0</v>
      </c>
      <c r="AB3">
        <v>0</v>
      </c>
      <c r="AC3">
        <v>0</v>
      </c>
      <c r="AE3" t="s">
        <v>106</v>
      </c>
      <c r="AF3" t="s">
        <v>107</v>
      </c>
      <c r="AG3" t="s">
        <v>108</v>
      </c>
      <c r="AL3"/>
      <c r="AM3" t="s">
        <v>95</v>
      </c>
      <c r="AN3" t="s">
        <v>109</v>
      </c>
      <c r="AO3" t="s">
        <v>110</v>
      </c>
      <c r="AP3" t="s">
        <v>111</v>
      </c>
      <c r="AQ3">
        <v>2025</v>
      </c>
      <c r="AR3" t="s">
        <v>112</v>
      </c>
      <c r="AS3" t="s">
        <v>113</v>
      </c>
      <c r="AT3" t="s">
        <v>114</v>
      </c>
      <c r="AU3" t="s">
        <v>115</v>
      </c>
      <c r="AV3" t="s">
        <v>100</v>
      </c>
      <c r="AW3" t="s">
        <v>116</v>
      </c>
      <c r="AX3" t="s">
        <v>117</v>
      </c>
      <c r="AY3">
        <v>2025</v>
      </c>
      <c r="AZ3">
        <v>0</v>
      </c>
      <c r="BA3" t="s">
        <v>118</v>
      </c>
      <c r="BB3">
        <v>0</v>
      </c>
      <c r="BC3">
        <v>1</v>
      </c>
    </row>
    <row r="4" spans="1:55" x14ac:dyDescent="0.35">
      <c r="A4" t="s">
        <v>1</v>
      </c>
      <c r="B4" t="s">
        <v>74</v>
      </c>
      <c r="C4" t="s">
        <v>119</v>
      </c>
      <c r="D4" t="s">
        <v>76</v>
      </c>
      <c r="E4" t="s">
        <v>120</v>
      </c>
      <c r="F4" t="s">
        <v>121</v>
      </c>
      <c r="G4" t="s">
        <v>100</v>
      </c>
      <c r="H4" t="s">
        <v>80</v>
      </c>
      <c r="I4" t="s">
        <v>81</v>
      </c>
      <c r="J4" t="s">
        <v>82</v>
      </c>
      <c r="K4" t="s">
        <v>83</v>
      </c>
      <c r="L4" t="s">
        <v>84</v>
      </c>
      <c r="M4" t="s">
        <v>122</v>
      </c>
      <c r="N4" t="s">
        <v>123</v>
      </c>
      <c r="O4">
        <v>2</v>
      </c>
      <c r="P4" t="s">
        <v>104</v>
      </c>
      <c r="R4" t="s">
        <v>89</v>
      </c>
      <c r="S4">
        <v>3987.81</v>
      </c>
      <c r="T4">
        <v>9764.7099999999991</v>
      </c>
      <c r="U4">
        <v>13752.52</v>
      </c>
      <c r="V4">
        <v>0</v>
      </c>
      <c r="W4">
        <v>1136.33</v>
      </c>
      <c r="X4">
        <v>14888.85</v>
      </c>
      <c r="Y4">
        <v>0</v>
      </c>
      <c r="Z4">
        <v>0</v>
      </c>
      <c r="AA4">
        <v>-9.41</v>
      </c>
      <c r="AB4">
        <v>0</v>
      </c>
      <c r="AC4">
        <v>0</v>
      </c>
      <c r="AE4" t="s">
        <v>124</v>
      </c>
      <c r="AF4" t="s">
        <v>91</v>
      </c>
      <c r="AG4" t="s">
        <v>92</v>
      </c>
      <c r="AL4"/>
      <c r="AM4" t="s">
        <v>125</v>
      </c>
      <c r="AN4" t="s">
        <v>126</v>
      </c>
      <c r="AO4" t="s">
        <v>95</v>
      </c>
      <c r="AW4" t="s">
        <v>127</v>
      </c>
      <c r="AX4" t="s">
        <v>97</v>
      </c>
      <c r="AY4">
        <v>2025</v>
      </c>
      <c r="AZ4">
        <v>0</v>
      </c>
      <c r="BA4" t="s">
        <v>128</v>
      </c>
      <c r="BB4">
        <v>13752.52</v>
      </c>
      <c r="BC4">
        <v>1</v>
      </c>
    </row>
    <row r="5" spans="1:55" x14ac:dyDescent="0.35">
      <c r="A5" t="s">
        <v>1</v>
      </c>
      <c r="B5" t="s">
        <v>74</v>
      </c>
      <c r="C5" t="s">
        <v>129</v>
      </c>
      <c r="D5" t="s">
        <v>27</v>
      </c>
      <c r="E5" t="s">
        <v>130</v>
      </c>
      <c r="F5" t="s">
        <v>78</v>
      </c>
      <c r="G5" t="s">
        <v>79</v>
      </c>
      <c r="H5" t="s">
        <v>80</v>
      </c>
      <c r="I5" t="s">
        <v>81</v>
      </c>
      <c r="J5" t="s">
        <v>82</v>
      </c>
      <c r="K5" t="s">
        <v>83</v>
      </c>
      <c r="L5" t="s">
        <v>84</v>
      </c>
      <c r="M5" t="s">
        <v>85</v>
      </c>
      <c r="N5" t="s">
        <v>86</v>
      </c>
      <c r="O5">
        <v>2</v>
      </c>
      <c r="P5" t="s">
        <v>87</v>
      </c>
      <c r="Q5" t="s">
        <v>88</v>
      </c>
      <c r="R5" t="s">
        <v>131</v>
      </c>
      <c r="S5">
        <v>0</v>
      </c>
      <c r="T5">
        <v>0</v>
      </c>
      <c r="U5">
        <v>0</v>
      </c>
      <c r="V5">
        <v>0</v>
      </c>
      <c r="W5">
        <v>0</v>
      </c>
      <c r="X5">
        <v>0</v>
      </c>
      <c r="Y5">
        <v>0</v>
      </c>
      <c r="Z5">
        <v>0</v>
      </c>
      <c r="AA5">
        <v>0</v>
      </c>
      <c r="AB5">
        <v>0</v>
      </c>
      <c r="AC5">
        <v>0</v>
      </c>
      <c r="AE5" t="s">
        <v>90</v>
      </c>
      <c r="AF5" t="s">
        <v>91</v>
      </c>
      <c r="AG5" t="s">
        <v>92</v>
      </c>
      <c r="AL5"/>
      <c r="AM5" t="s">
        <v>93</v>
      </c>
      <c r="AN5" t="s">
        <v>94</v>
      </c>
      <c r="AO5" t="s">
        <v>95</v>
      </c>
      <c r="AW5" t="s">
        <v>96</v>
      </c>
      <c r="AX5" t="s">
        <v>97</v>
      </c>
      <c r="AY5">
        <v>2025</v>
      </c>
      <c r="AZ5">
        <v>0</v>
      </c>
      <c r="BA5" t="s">
        <v>132</v>
      </c>
      <c r="BB5">
        <v>0</v>
      </c>
      <c r="BC5">
        <v>1</v>
      </c>
    </row>
    <row r="6" spans="1:55" x14ac:dyDescent="0.35">
      <c r="A6" t="s">
        <v>1</v>
      </c>
      <c r="B6" t="s">
        <v>74</v>
      </c>
      <c r="C6" t="s">
        <v>133</v>
      </c>
      <c r="D6" t="s">
        <v>76</v>
      </c>
      <c r="E6" t="s">
        <v>134</v>
      </c>
      <c r="F6" t="s">
        <v>78</v>
      </c>
      <c r="G6" t="s">
        <v>79</v>
      </c>
      <c r="H6" t="s">
        <v>80</v>
      </c>
      <c r="I6" t="s">
        <v>81</v>
      </c>
      <c r="J6" t="s">
        <v>82</v>
      </c>
      <c r="K6" t="s">
        <v>83</v>
      </c>
      <c r="L6" t="s">
        <v>84</v>
      </c>
      <c r="M6" t="s">
        <v>85</v>
      </c>
      <c r="N6" t="s">
        <v>86</v>
      </c>
      <c r="O6">
        <v>2</v>
      </c>
      <c r="P6" t="s">
        <v>87</v>
      </c>
      <c r="Q6" t="s">
        <v>88</v>
      </c>
      <c r="R6" t="s">
        <v>89</v>
      </c>
      <c r="S6">
        <v>0</v>
      </c>
      <c r="T6">
        <v>893.3</v>
      </c>
      <c r="U6">
        <v>893.3</v>
      </c>
      <c r="V6">
        <v>0</v>
      </c>
      <c r="W6">
        <v>23.25</v>
      </c>
      <c r="X6">
        <v>916.55</v>
      </c>
      <c r="Y6">
        <v>0</v>
      </c>
      <c r="Z6">
        <v>0</v>
      </c>
      <c r="AA6">
        <v>0</v>
      </c>
      <c r="AB6">
        <v>0</v>
      </c>
      <c r="AC6">
        <v>0</v>
      </c>
      <c r="AE6" t="s">
        <v>90</v>
      </c>
      <c r="AF6" t="s">
        <v>91</v>
      </c>
      <c r="AG6" t="s">
        <v>92</v>
      </c>
      <c r="AL6"/>
      <c r="AM6" t="s">
        <v>93</v>
      </c>
      <c r="AN6" t="s">
        <v>94</v>
      </c>
      <c r="AO6" t="s">
        <v>95</v>
      </c>
      <c r="AW6" t="s">
        <v>96</v>
      </c>
      <c r="AX6" t="s">
        <v>97</v>
      </c>
      <c r="AY6">
        <v>2025</v>
      </c>
      <c r="AZ6">
        <v>0</v>
      </c>
      <c r="BA6" t="s">
        <v>135</v>
      </c>
      <c r="BB6">
        <v>893.3</v>
      </c>
      <c r="BC6">
        <v>1</v>
      </c>
    </row>
    <row r="7" spans="1:55" x14ac:dyDescent="0.35">
      <c r="A7" t="s">
        <v>1</v>
      </c>
      <c r="B7" t="s">
        <v>74</v>
      </c>
      <c r="C7" t="s">
        <v>136</v>
      </c>
      <c r="D7" t="s">
        <v>27</v>
      </c>
      <c r="E7" t="s">
        <v>137</v>
      </c>
      <c r="F7" t="s">
        <v>78</v>
      </c>
      <c r="G7" t="s">
        <v>79</v>
      </c>
      <c r="H7" t="s">
        <v>80</v>
      </c>
      <c r="I7" t="s">
        <v>81</v>
      </c>
      <c r="J7" t="s">
        <v>82</v>
      </c>
      <c r="K7" t="s">
        <v>83</v>
      </c>
      <c r="L7" t="s">
        <v>84</v>
      </c>
      <c r="M7" t="s">
        <v>85</v>
      </c>
      <c r="N7" t="s">
        <v>86</v>
      </c>
      <c r="O7">
        <v>2</v>
      </c>
      <c r="P7" t="s">
        <v>87</v>
      </c>
      <c r="Q7" t="s">
        <v>88</v>
      </c>
      <c r="R7" t="s">
        <v>131</v>
      </c>
      <c r="S7">
        <v>0</v>
      </c>
      <c r="T7">
        <v>0</v>
      </c>
      <c r="U7">
        <v>0</v>
      </c>
      <c r="V7">
        <v>0</v>
      </c>
      <c r="W7">
        <v>0</v>
      </c>
      <c r="X7">
        <v>0</v>
      </c>
      <c r="Y7">
        <v>0</v>
      </c>
      <c r="Z7">
        <v>0</v>
      </c>
      <c r="AA7">
        <v>0</v>
      </c>
      <c r="AB7">
        <v>0</v>
      </c>
      <c r="AC7">
        <v>0</v>
      </c>
      <c r="AE7" t="s">
        <v>90</v>
      </c>
      <c r="AF7" t="s">
        <v>91</v>
      </c>
      <c r="AG7" t="s">
        <v>92</v>
      </c>
      <c r="AL7"/>
      <c r="AM7" t="s">
        <v>93</v>
      </c>
      <c r="AN7" t="s">
        <v>94</v>
      </c>
      <c r="AO7" t="s">
        <v>95</v>
      </c>
      <c r="AW7" t="s">
        <v>96</v>
      </c>
      <c r="AX7" t="s">
        <v>97</v>
      </c>
      <c r="AY7">
        <v>2025</v>
      </c>
      <c r="AZ7">
        <v>0</v>
      </c>
      <c r="BA7" t="s">
        <v>138</v>
      </c>
      <c r="BB7">
        <v>0</v>
      </c>
      <c r="BC7">
        <v>1</v>
      </c>
    </row>
    <row r="8" spans="1:55" x14ac:dyDescent="0.35">
      <c r="A8" t="s">
        <v>1</v>
      </c>
      <c r="B8" t="s">
        <v>74</v>
      </c>
      <c r="C8" t="s">
        <v>133</v>
      </c>
      <c r="D8" t="s">
        <v>27</v>
      </c>
      <c r="E8" t="s">
        <v>134</v>
      </c>
      <c r="F8" t="s">
        <v>78</v>
      </c>
      <c r="G8" t="s">
        <v>79</v>
      </c>
      <c r="H8" t="s">
        <v>80</v>
      </c>
      <c r="I8" t="s">
        <v>81</v>
      </c>
      <c r="J8" t="s">
        <v>82</v>
      </c>
      <c r="K8" t="s">
        <v>83</v>
      </c>
      <c r="L8" t="s">
        <v>84</v>
      </c>
      <c r="M8" t="s">
        <v>85</v>
      </c>
      <c r="N8" t="s">
        <v>86</v>
      </c>
      <c r="O8">
        <v>2</v>
      </c>
      <c r="P8" t="s">
        <v>87</v>
      </c>
      <c r="Q8" t="s">
        <v>88</v>
      </c>
      <c r="R8" t="s">
        <v>131</v>
      </c>
      <c r="S8">
        <v>0</v>
      </c>
      <c r="T8">
        <v>0</v>
      </c>
      <c r="U8">
        <v>0</v>
      </c>
      <c r="V8">
        <v>0</v>
      </c>
      <c r="W8">
        <v>0</v>
      </c>
      <c r="X8">
        <v>0</v>
      </c>
      <c r="Y8">
        <v>0</v>
      </c>
      <c r="Z8">
        <v>0</v>
      </c>
      <c r="AA8">
        <v>0</v>
      </c>
      <c r="AB8">
        <v>0</v>
      </c>
      <c r="AC8">
        <v>0</v>
      </c>
      <c r="AE8" t="s">
        <v>90</v>
      </c>
      <c r="AF8" t="s">
        <v>91</v>
      </c>
      <c r="AG8" t="s">
        <v>92</v>
      </c>
      <c r="AL8"/>
      <c r="AM8" t="s">
        <v>93</v>
      </c>
      <c r="AN8" t="s">
        <v>94</v>
      </c>
      <c r="AO8" t="s">
        <v>95</v>
      </c>
      <c r="AW8" t="s">
        <v>96</v>
      </c>
      <c r="AX8" t="s">
        <v>97</v>
      </c>
      <c r="AY8">
        <v>2025</v>
      </c>
      <c r="AZ8">
        <v>0</v>
      </c>
      <c r="BA8" t="s">
        <v>139</v>
      </c>
      <c r="BB8">
        <v>0</v>
      </c>
      <c r="BC8">
        <v>0</v>
      </c>
    </row>
    <row r="9" spans="1:55" x14ac:dyDescent="0.35">
      <c r="A9" t="s">
        <v>1</v>
      </c>
      <c r="B9" t="s">
        <v>74</v>
      </c>
      <c r="C9" t="s">
        <v>119</v>
      </c>
      <c r="D9" t="s">
        <v>27</v>
      </c>
      <c r="E9" t="s">
        <v>120</v>
      </c>
      <c r="F9" t="s">
        <v>121</v>
      </c>
      <c r="G9" t="s">
        <v>100</v>
      </c>
      <c r="H9" t="s">
        <v>80</v>
      </c>
      <c r="I9" t="s">
        <v>81</v>
      </c>
      <c r="J9" t="s">
        <v>82</v>
      </c>
      <c r="K9" t="s">
        <v>83</v>
      </c>
      <c r="L9" t="s">
        <v>84</v>
      </c>
      <c r="M9" t="s">
        <v>122</v>
      </c>
      <c r="N9" t="s">
        <v>123</v>
      </c>
      <c r="O9">
        <v>2</v>
      </c>
      <c r="P9" t="s">
        <v>104</v>
      </c>
      <c r="R9" t="s">
        <v>131</v>
      </c>
      <c r="S9">
        <v>6731.39</v>
      </c>
      <c r="T9">
        <v>8268.61</v>
      </c>
      <c r="U9">
        <v>15000</v>
      </c>
      <c r="V9">
        <v>6244.07</v>
      </c>
      <c r="W9">
        <v>1755.93</v>
      </c>
      <c r="X9">
        <v>23000</v>
      </c>
      <c r="Y9">
        <v>0</v>
      </c>
      <c r="Z9">
        <v>0</v>
      </c>
      <c r="AA9">
        <v>0</v>
      </c>
      <c r="AB9">
        <v>0</v>
      </c>
      <c r="AC9">
        <v>0</v>
      </c>
      <c r="AE9" t="s">
        <v>124</v>
      </c>
      <c r="AF9" t="s">
        <v>91</v>
      </c>
      <c r="AG9" t="s">
        <v>92</v>
      </c>
      <c r="AL9"/>
      <c r="AM9" t="s">
        <v>125</v>
      </c>
      <c r="AN9" t="s">
        <v>126</v>
      </c>
      <c r="AO9" t="s">
        <v>95</v>
      </c>
      <c r="AW9" t="s">
        <v>127</v>
      </c>
      <c r="AX9" t="s">
        <v>97</v>
      </c>
      <c r="AY9">
        <v>2025</v>
      </c>
      <c r="AZ9">
        <v>0</v>
      </c>
      <c r="BA9" t="s">
        <v>140</v>
      </c>
      <c r="BB9">
        <v>15000</v>
      </c>
      <c r="BC9">
        <v>0</v>
      </c>
    </row>
    <row r="10" spans="1:55" x14ac:dyDescent="0.35">
      <c r="A10" t="s">
        <v>1</v>
      </c>
      <c r="B10" t="s">
        <v>74</v>
      </c>
      <c r="C10" t="s">
        <v>129</v>
      </c>
      <c r="D10" t="s">
        <v>76</v>
      </c>
      <c r="E10" t="s">
        <v>130</v>
      </c>
      <c r="F10" t="s">
        <v>78</v>
      </c>
      <c r="G10" t="s">
        <v>79</v>
      </c>
      <c r="H10" t="s">
        <v>80</v>
      </c>
      <c r="I10" t="s">
        <v>81</v>
      </c>
      <c r="J10" t="s">
        <v>82</v>
      </c>
      <c r="K10" t="s">
        <v>83</v>
      </c>
      <c r="L10" t="s">
        <v>84</v>
      </c>
      <c r="M10" t="s">
        <v>85</v>
      </c>
      <c r="N10" t="s">
        <v>86</v>
      </c>
      <c r="O10">
        <v>2</v>
      </c>
      <c r="P10" t="s">
        <v>87</v>
      </c>
      <c r="Q10" t="s">
        <v>88</v>
      </c>
      <c r="R10" t="s">
        <v>89</v>
      </c>
      <c r="S10">
        <v>0</v>
      </c>
      <c r="T10">
        <v>1044.69</v>
      </c>
      <c r="U10">
        <v>1044.69</v>
      </c>
      <c r="V10">
        <v>0</v>
      </c>
      <c r="W10">
        <v>33.5</v>
      </c>
      <c r="X10">
        <v>1078.19</v>
      </c>
      <c r="Y10">
        <v>0</v>
      </c>
      <c r="Z10">
        <v>0</v>
      </c>
      <c r="AA10">
        <v>0</v>
      </c>
      <c r="AB10">
        <v>0</v>
      </c>
      <c r="AC10">
        <v>0</v>
      </c>
      <c r="AE10" t="s">
        <v>90</v>
      </c>
      <c r="AF10" t="s">
        <v>91</v>
      </c>
      <c r="AG10" t="s">
        <v>92</v>
      </c>
      <c r="AL10"/>
      <c r="AM10" t="s">
        <v>93</v>
      </c>
      <c r="AN10" t="s">
        <v>94</v>
      </c>
      <c r="AO10" t="s">
        <v>95</v>
      </c>
      <c r="AW10" t="s">
        <v>96</v>
      </c>
      <c r="AX10" t="s">
        <v>97</v>
      </c>
      <c r="AY10">
        <v>2025</v>
      </c>
      <c r="AZ10">
        <v>0</v>
      </c>
      <c r="BA10" t="s">
        <v>141</v>
      </c>
      <c r="BB10">
        <v>1044.69</v>
      </c>
      <c r="BC10">
        <v>0</v>
      </c>
    </row>
    <row r="11" spans="1:55" x14ac:dyDescent="0.35">
      <c r="A11" t="s">
        <v>1</v>
      </c>
      <c r="B11" t="s">
        <v>74</v>
      </c>
      <c r="C11" t="s">
        <v>142</v>
      </c>
      <c r="D11"/>
      <c r="E11"/>
      <c r="F11" t="s">
        <v>143</v>
      </c>
      <c r="G11" t="s">
        <v>100</v>
      </c>
      <c r="H11" t="s">
        <v>144</v>
      </c>
      <c r="I11" t="s">
        <v>145</v>
      </c>
      <c r="J11" t="s">
        <v>82</v>
      </c>
      <c r="K11" t="s">
        <v>83</v>
      </c>
      <c r="L11" t="s">
        <v>84</v>
      </c>
      <c r="M11" t="s">
        <v>146</v>
      </c>
      <c r="N11" t="s">
        <v>147</v>
      </c>
      <c r="O11">
        <v>4</v>
      </c>
      <c r="P11" t="s">
        <v>87</v>
      </c>
      <c r="Q11" t="s">
        <v>148</v>
      </c>
      <c r="S11">
        <v>0</v>
      </c>
      <c r="T11">
        <v>0</v>
      </c>
      <c r="U11">
        <v>0</v>
      </c>
      <c r="V11">
        <v>0</v>
      </c>
      <c r="W11">
        <v>0</v>
      </c>
      <c r="X11">
        <v>0</v>
      </c>
      <c r="Y11">
        <v>0</v>
      </c>
      <c r="Z11">
        <v>0</v>
      </c>
      <c r="AA11">
        <v>0</v>
      </c>
      <c r="AB11">
        <v>0</v>
      </c>
      <c r="AC11">
        <v>0</v>
      </c>
      <c r="AE11" t="s">
        <v>149</v>
      </c>
      <c r="AF11" t="s">
        <v>150</v>
      </c>
      <c r="AG11" t="s">
        <v>151</v>
      </c>
      <c r="AL11"/>
      <c r="AM11" t="s">
        <v>95</v>
      </c>
      <c r="AN11" t="s">
        <v>109</v>
      </c>
      <c r="AO11" t="s">
        <v>95</v>
      </c>
      <c r="AX11" t="s">
        <v>152</v>
      </c>
      <c r="AY11">
        <v>2025</v>
      </c>
      <c r="AZ11">
        <v>0</v>
      </c>
      <c r="BA11" t="s">
        <v>142</v>
      </c>
      <c r="BB11">
        <v>0</v>
      </c>
      <c r="BC11">
        <v>1</v>
      </c>
    </row>
    <row r="12" spans="1:55" x14ac:dyDescent="0.35">
      <c r="A12" t="s">
        <v>1</v>
      </c>
      <c r="B12" t="s">
        <v>74</v>
      </c>
      <c r="C12" t="s">
        <v>153</v>
      </c>
      <c r="D12" t="s">
        <v>27</v>
      </c>
      <c r="E12" t="s">
        <v>154</v>
      </c>
      <c r="F12" t="s">
        <v>155</v>
      </c>
      <c r="G12" t="s">
        <v>79</v>
      </c>
      <c r="H12" t="s">
        <v>80</v>
      </c>
      <c r="I12" t="s">
        <v>81</v>
      </c>
      <c r="J12" t="s">
        <v>82</v>
      </c>
      <c r="K12" t="s">
        <v>83</v>
      </c>
      <c r="L12" t="s">
        <v>84</v>
      </c>
      <c r="M12" t="s">
        <v>156</v>
      </c>
      <c r="N12" t="s">
        <v>157</v>
      </c>
      <c r="O12">
        <v>19</v>
      </c>
      <c r="P12" t="s">
        <v>87</v>
      </c>
      <c r="Q12" t="s">
        <v>158</v>
      </c>
      <c r="R12" t="s">
        <v>131</v>
      </c>
      <c r="S12">
        <v>0</v>
      </c>
      <c r="T12">
        <v>0</v>
      </c>
      <c r="U12">
        <v>0</v>
      </c>
      <c r="V12">
        <v>0</v>
      </c>
      <c r="W12">
        <v>0</v>
      </c>
      <c r="X12">
        <v>0</v>
      </c>
      <c r="Y12">
        <v>0</v>
      </c>
      <c r="Z12">
        <v>0</v>
      </c>
      <c r="AA12">
        <v>0</v>
      </c>
      <c r="AB12">
        <v>0</v>
      </c>
      <c r="AC12">
        <v>0</v>
      </c>
      <c r="AE12" t="s">
        <v>159</v>
      </c>
      <c r="AF12" t="s">
        <v>91</v>
      </c>
      <c r="AG12" t="s">
        <v>160</v>
      </c>
      <c r="AL12"/>
      <c r="AM12" t="s">
        <v>161</v>
      </c>
      <c r="AN12" t="s">
        <v>126</v>
      </c>
      <c r="AO12" t="s">
        <v>95</v>
      </c>
      <c r="AW12" t="s">
        <v>162</v>
      </c>
      <c r="AX12" t="s">
        <v>97</v>
      </c>
      <c r="AY12">
        <v>2025</v>
      </c>
      <c r="AZ12">
        <v>0</v>
      </c>
      <c r="BA12" t="s">
        <v>163</v>
      </c>
      <c r="BB12">
        <v>0</v>
      </c>
      <c r="BC12">
        <v>1</v>
      </c>
    </row>
    <row r="13" spans="1:55" x14ac:dyDescent="0.35">
      <c r="A13" t="s">
        <v>1</v>
      </c>
      <c r="B13" t="s">
        <v>74</v>
      </c>
      <c r="C13" t="s">
        <v>164</v>
      </c>
      <c r="D13" t="s">
        <v>27</v>
      </c>
      <c r="E13" t="s">
        <v>165</v>
      </c>
      <c r="F13" t="s">
        <v>166</v>
      </c>
      <c r="G13" t="s">
        <v>167</v>
      </c>
      <c r="H13" t="s">
        <v>80</v>
      </c>
      <c r="I13" t="s">
        <v>81</v>
      </c>
      <c r="J13" t="s">
        <v>82</v>
      </c>
      <c r="K13" t="s">
        <v>83</v>
      </c>
      <c r="L13" t="s">
        <v>84</v>
      </c>
      <c r="M13" t="s">
        <v>168</v>
      </c>
      <c r="N13" t="s">
        <v>169</v>
      </c>
      <c r="O13">
        <v>16</v>
      </c>
      <c r="P13" t="s">
        <v>104</v>
      </c>
      <c r="R13" t="s">
        <v>131</v>
      </c>
      <c r="S13">
        <v>0</v>
      </c>
      <c r="T13">
        <v>0</v>
      </c>
      <c r="U13">
        <v>0</v>
      </c>
      <c r="V13">
        <v>0</v>
      </c>
      <c r="W13">
        <v>0</v>
      </c>
      <c r="X13">
        <v>0</v>
      </c>
      <c r="Y13">
        <v>0</v>
      </c>
      <c r="Z13">
        <v>0</v>
      </c>
      <c r="AA13">
        <v>0</v>
      </c>
      <c r="AB13">
        <v>0</v>
      </c>
      <c r="AC13">
        <v>0</v>
      </c>
      <c r="AE13" t="s">
        <v>170</v>
      </c>
      <c r="AF13" t="s">
        <v>171</v>
      </c>
      <c r="AG13" t="s">
        <v>172</v>
      </c>
      <c r="AL13"/>
      <c r="AM13" t="s">
        <v>173</v>
      </c>
      <c r="AN13" t="s">
        <v>174</v>
      </c>
      <c r="AO13" t="s">
        <v>95</v>
      </c>
      <c r="AW13" t="s">
        <v>175</v>
      </c>
      <c r="AX13" t="s">
        <v>97</v>
      </c>
      <c r="AY13">
        <v>2025</v>
      </c>
      <c r="AZ13">
        <v>0</v>
      </c>
      <c r="BA13" t="s">
        <v>176</v>
      </c>
      <c r="BB13">
        <v>0</v>
      </c>
      <c r="BC13">
        <v>1</v>
      </c>
    </row>
    <row r="14" spans="1:55" x14ac:dyDescent="0.35">
      <c r="A14" t="s">
        <v>1</v>
      </c>
      <c r="B14" t="s">
        <v>74</v>
      </c>
      <c r="C14" t="s">
        <v>177</v>
      </c>
      <c r="D14"/>
      <c r="E14"/>
      <c r="G14" t="s">
        <v>178</v>
      </c>
      <c r="H14" t="s">
        <v>101</v>
      </c>
      <c r="I14" t="s">
        <v>102</v>
      </c>
      <c r="J14" t="s">
        <v>82</v>
      </c>
      <c r="K14" t="s">
        <v>83</v>
      </c>
      <c r="L14" t="s">
        <v>84</v>
      </c>
      <c r="M14" t="s">
        <v>179</v>
      </c>
      <c r="N14" t="s">
        <v>180</v>
      </c>
      <c r="O14">
        <v>1</v>
      </c>
      <c r="P14" t="s">
        <v>104</v>
      </c>
      <c r="S14">
        <v>0</v>
      </c>
      <c r="T14">
        <v>0</v>
      </c>
      <c r="U14">
        <v>0</v>
      </c>
      <c r="V14">
        <v>0</v>
      </c>
      <c r="W14">
        <v>0</v>
      </c>
      <c r="X14">
        <v>0</v>
      </c>
      <c r="Y14">
        <v>0</v>
      </c>
      <c r="Z14">
        <v>0</v>
      </c>
      <c r="AA14">
        <v>0</v>
      </c>
      <c r="AB14">
        <v>0</v>
      </c>
      <c r="AC14">
        <v>0</v>
      </c>
      <c r="AE14" t="s">
        <v>181</v>
      </c>
      <c r="AF14" t="s">
        <v>182</v>
      </c>
      <c r="AG14" t="s">
        <v>183</v>
      </c>
      <c r="AL14"/>
      <c r="AM14" t="s">
        <v>95</v>
      </c>
      <c r="AN14" t="s">
        <v>184</v>
      </c>
      <c r="AO14" t="s">
        <v>95</v>
      </c>
      <c r="AX14" t="s">
        <v>117</v>
      </c>
      <c r="AY14">
        <v>2025</v>
      </c>
      <c r="AZ14">
        <v>0</v>
      </c>
      <c r="BA14" t="s">
        <v>177</v>
      </c>
      <c r="BB14">
        <v>0</v>
      </c>
      <c r="BC14">
        <v>1</v>
      </c>
    </row>
    <row r="15" spans="1:55" x14ac:dyDescent="0.35">
      <c r="A15" t="s">
        <v>1</v>
      </c>
      <c r="B15" t="s">
        <v>74</v>
      </c>
      <c r="C15" t="s">
        <v>164</v>
      </c>
      <c r="D15" t="s">
        <v>76</v>
      </c>
      <c r="E15" t="s">
        <v>165</v>
      </c>
      <c r="F15" t="s">
        <v>166</v>
      </c>
      <c r="G15" t="s">
        <v>167</v>
      </c>
      <c r="H15" t="s">
        <v>80</v>
      </c>
      <c r="I15" t="s">
        <v>81</v>
      </c>
      <c r="J15" t="s">
        <v>82</v>
      </c>
      <c r="K15" t="s">
        <v>83</v>
      </c>
      <c r="L15" t="s">
        <v>84</v>
      </c>
      <c r="M15" t="s">
        <v>168</v>
      </c>
      <c r="N15" t="s">
        <v>169</v>
      </c>
      <c r="O15">
        <v>16</v>
      </c>
      <c r="P15" t="s">
        <v>104</v>
      </c>
      <c r="R15" t="s">
        <v>89</v>
      </c>
      <c r="S15">
        <v>0</v>
      </c>
      <c r="T15">
        <v>0</v>
      </c>
      <c r="U15">
        <v>0</v>
      </c>
      <c r="V15">
        <v>0</v>
      </c>
      <c r="W15">
        <v>0</v>
      </c>
      <c r="X15">
        <v>0</v>
      </c>
      <c r="Y15">
        <v>0</v>
      </c>
      <c r="Z15">
        <v>0</v>
      </c>
      <c r="AA15">
        <v>0</v>
      </c>
      <c r="AB15">
        <v>0</v>
      </c>
      <c r="AC15">
        <v>0</v>
      </c>
      <c r="AE15" t="s">
        <v>170</v>
      </c>
      <c r="AF15" t="s">
        <v>171</v>
      </c>
      <c r="AG15" t="s">
        <v>172</v>
      </c>
      <c r="AL15"/>
      <c r="AM15" t="s">
        <v>173</v>
      </c>
      <c r="AN15" t="s">
        <v>174</v>
      </c>
      <c r="AO15" t="s">
        <v>95</v>
      </c>
      <c r="AW15" t="s">
        <v>175</v>
      </c>
      <c r="AX15" t="s">
        <v>97</v>
      </c>
      <c r="AY15">
        <v>2025</v>
      </c>
      <c r="AZ15">
        <v>0</v>
      </c>
      <c r="BA15" t="s">
        <v>185</v>
      </c>
      <c r="BB15">
        <v>0</v>
      </c>
      <c r="BC15">
        <v>0</v>
      </c>
    </row>
    <row r="16" spans="1:55" x14ac:dyDescent="0.35">
      <c r="A16" t="s">
        <v>1</v>
      </c>
      <c r="B16" t="s">
        <v>74</v>
      </c>
      <c r="C16" t="s">
        <v>186</v>
      </c>
      <c r="D16"/>
      <c r="E16"/>
      <c r="F16" t="s">
        <v>78</v>
      </c>
      <c r="G16" t="s">
        <v>187</v>
      </c>
      <c r="H16" t="s">
        <v>144</v>
      </c>
      <c r="I16" t="s">
        <v>145</v>
      </c>
      <c r="J16" t="s">
        <v>82</v>
      </c>
      <c r="K16" t="s">
        <v>83</v>
      </c>
      <c r="L16" t="s">
        <v>84</v>
      </c>
      <c r="M16" t="s">
        <v>188</v>
      </c>
      <c r="N16" t="s">
        <v>180</v>
      </c>
      <c r="O16">
        <v>121</v>
      </c>
      <c r="P16" t="s">
        <v>104</v>
      </c>
      <c r="S16">
        <v>0</v>
      </c>
      <c r="T16">
        <v>0</v>
      </c>
      <c r="U16">
        <v>0</v>
      </c>
      <c r="V16">
        <v>0</v>
      </c>
      <c r="W16">
        <v>0</v>
      </c>
      <c r="X16">
        <v>0</v>
      </c>
      <c r="Y16">
        <v>0</v>
      </c>
      <c r="Z16">
        <v>0</v>
      </c>
      <c r="AA16">
        <v>0</v>
      </c>
      <c r="AB16">
        <v>0</v>
      </c>
      <c r="AC16">
        <v>0</v>
      </c>
      <c r="AE16" t="s">
        <v>189</v>
      </c>
      <c r="AF16" t="s">
        <v>150</v>
      </c>
      <c r="AG16" t="s">
        <v>190</v>
      </c>
      <c r="AL16"/>
      <c r="AM16" t="s">
        <v>95</v>
      </c>
      <c r="AN16" t="s">
        <v>126</v>
      </c>
      <c r="AO16" t="s">
        <v>95</v>
      </c>
      <c r="AX16" t="s">
        <v>152</v>
      </c>
      <c r="AY16">
        <v>2025</v>
      </c>
      <c r="AZ16">
        <v>0</v>
      </c>
      <c r="BA16" t="s">
        <v>186</v>
      </c>
      <c r="BB16">
        <v>0</v>
      </c>
      <c r="BC16">
        <v>1</v>
      </c>
    </row>
    <row r="17" spans="1:55" x14ac:dyDescent="0.35">
      <c r="A17" t="s">
        <v>1</v>
      </c>
      <c r="B17" t="s">
        <v>74</v>
      </c>
      <c r="C17" t="s">
        <v>191</v>
      </c>
      <c r="D17" t="s">
        <v>76</v>
      </c>
      <c r="E17" t="s">
        <v>192</v>
      </c>
      <c r="G17" t="s">
        <v>100</v>
      </c>
      <c r="H17" t="s">
        <v>101</v>
      </c>
      <c r="I17" t="s">
        <v>102</v>
      </c>
      <c r="J17" t="s">
        <v>82</v>
      </c>
      <c r="K17" t="s">
        <v>83</v>
      </c>
      <c r="L17" t="s">
        <v>84</v>
      </c>
      <c r="M17" t="s">
        <v>193</v>
      </c>
      <c r="N17" t="s">
        <v>194</v>
      </c>
      <c r="O17">
        <v>4</v>
      </c>
      <c r="P17" t="s">
        <v>104</v>
      </c>
      <c r="R17" t="s">
        <v>195</v>
      </c>
      <c r="S17">
        <v>0</v>
      </c>
      <c r="T17">
        <v>0</v>
      </c>
      <c r="U17">
        <v>0</v>
      </c>
      <c r="V17">
        <v>0</v>
      </c>
      <c r="W17">
        <v>0</v>
      </c>
      <c r="X17">
        <v>0</v>
      </c>
      <c r="Y17">
        <v>0</v>
      </c>
      <c r="Z17">
        <v>0</v>
      </c>
      <c r="AA17">
        <v>0</v>
      </c>
      <c r="AB17">
        <v>0</v>
      </c>
      <c r="AC17">
        <v>0</v>
      </c>
      <c r="AE17" t="s">
        <v>196</v>
      </c>
      <c r="AF17" t="s">
        <v>197</v>
      </c>
      <c r="AG17" t="s">
        <v>198</v>
      </c>
      <c r="AL17"/>
      <c r="AM17" t="s">
        <v>95</v>
      </c>
      <c r="AN17" t="s">
        <v>109</v>
      </c>
      <c r="AO17" t="s">
        <v>199</v>
      </c>
      <c r="AW17" t="s">
        <v>200</v>
      </c>
      <c r="AX17" t="s">
        <v>117</v>
      </c>
      <c r="AY17">
        <v>2025</v>
      </c>
      <c r="AZ17">
        <v>0</v>
      </c>
      <c r="BA17" t="s">
        <v>201</v>
      </c>
      <c r="BB17">
        <v>0</v>
      </c>
      <c r="BC17">
        <v>1</v>
      </c>
    </row>
    <row r="18" spans="1:55" x14ac:dyDescent="0.35">
      <c r="A18" t="s">
        <v>1</v>
      </c>
      <c r="B18" t="s">
        <v>74</v>
      </c>
      <c r="C18" t="s">
        <v>202</v>
      </c>
      <c r="D18" t="s">
        <v>27</v>
      </c>
      <c r="E18" t="s">
        <v>74</v>
      </c>
      <c r="G18" t="s">
        <v>100</v>
      </c>
      <c r="H18" t="s">
        <v>101</v>
      </c>
      <c r="I18" t="s">
        <v>102</v>
      </c>
      <c r="J18" t="s">
        <v>82</v>
      </c>
      <c r="K18" t="s">
        <v>83</v>
      </c>
      <c r="L18" t="s">
        <v>84</v>
      </c>
      <c r="M18" t="s">
        <v>122</v>
      </c>
      <c r="N18" t="s">
        <v>123</v>
      </c>
      <c r="O18">
        <v>2</v>
      </c>
      <c r="P18" t="s">
        <v>87</v>
      </c>
      <c r="Q18" t="s">
        <v>203</v>
      </c>
      <c r="R18" t="s">
        <v>105</v>
      </c>
      <c r="S18">
        <v>0</v>
      </c>
      <c r="T18">
        <v>10385.969999999999</v>
      </c>
      <c r="U18">
        <v>10385.969999999999</v>
      </c>
      <c r="V18">
        <v>0</v>
      </c>
      <c r="W18">
        <v>0</v>
      </c>
      <c r="X18">
        <v>10385.969999999999</v>
      </c>
      <c r="Y18">
        <v>-10123.1</v>
      </c>
      <c r="Z18">
        <v>-27675.5</v>
      </c>
      <c r="AA18">
        <v>-18369.169999999998</v>
      </c>
      <c r="AB18">
        <v>0</v>
      </c>
      <c r="AC18">
        <v>0</v>
      </c>
      <c r="AE18" t="s">
        <v>204</v>
      </c>
      <c r="AF18" t="s">
        <v>205</v>
      </c>
      <c r="AG18" t="s">
        <v>206</v>
      </c>
      <c r="AL18"/>
      <c r="AM18" t="s">
        <v>95</v>
      </c>
      <c r="AN18" t="s">
        <v>126</v>
      </c>
      <c r="AO18" t="s">
        <v>207</v>
      </c>
      <c r="AP18" t="s">
        <v>208</v>
      </c>
      <c r="AQ18">
        <v>2025</v>
      </c>
      <c r="AR18" t="s">
        <v>209</v>
      </c>
      <c r="AS18" t="s">
        <v>210</v>
      </c>
      <c r="AT18" t="s">
        <v>211</v>
      </c>
      <c r="AV18" t="s">
        <v>100</v>
      </c>
      <c r="AW18" t="s">
        <v>212</v>
      </c>
      <c r="AX18" t="s">
        <v>117</v>
      </c>
      <c r="AY18">
        <v>2025</v>
      </c>
      <c r="AZ18">
        <v>0</v>
      </c>
      <c r="BA18" t="s">
        <v>213</v>
      </c>
      <c r="BB18">
        <v>10385.969999999999</v>
      </c>
      <c r="BC18">
        <v>1</v>
      </c>
    </row>
    <row r="19" spans="1:55" x14ac:dyDescent="0.35">
      <c r="A19" t="s">
        <v>1</v>
      </c>
      <c r="B19" t="s">
        <v>74</v>
      </c>
      <c r="C19" t="s">
        <v>191</v>
      </c>
      <c r="D19" t="s">
        <v>27</v>
      </c>
      <c r="E19" t="s">
        <v>74</v>
      </c>
      <c r="G19" t="s">
        <v>100</v>
      </c>
      <c r="H19" t="s">
        <v>101</v>
      </c>
      <c r="I19" t="s">
        <v>102</v>
      </c>
      <c r="J19" t="s">
        <v>82</v>
      </c>
      <c r="K19" t="s">
        <v>83</v>
      </c>
      <c r="L19" t="s">
        <v>84</v>
      </c>
      <c r="M19" t="s">
        <v>193</v>
      </c>
      <c r="N19" t="s">
        <v>194</v>
      </c>
      <c r="O19">
        <v>4</v>
      </c>
      <c r="P19" t="s">
        <v>104</v>
      </c>
      <c r="R19" t="s">
        <v>105</v>
      </c>
      <c r="S19">
        <v>0</v>
      </c>
      <c r="T19">
        <v>401.42</v>
      </c>
      <c r="U19">
        <v>401.42</v>
      </c>
      <c r="V19">
        <v>0</v>
      </c>
      <c r="W19">
        <v>0</v>
      </c>
      <c r="X19">
        <v>401.42</v>
      </c>
      <c r="Y19">
        <v>0</v>
      </c>
      <c r="Z19">
        <v>0</v>
      </c>
      <c r="AA19">
        <v>0</v>
      </c>
      <c r="AB19">
        <v>0</v>
      </c>
      <c r="AC19">
        <v>0</v>
      </c>
      <c r="AE19" t="s">
        <v>196</v>
      </c>
      <c r="AF19" t="s">
        <v>197</v>
      </c>
      <c r="AG19" t="s">
        <v>198</v>
      </c>
      <c r="AL19"/>
      <c r="AM19" t="s">
        <v>95</v>
      </c>
      <c r="AN19" t="s">
        <v>109</v>
      </c>
      <c r="AO19" t="s">
        <v>199</v>
      </c>
      <c r="AP19" t="s">
        <v>111</v>
      </c>
      <c r="AQ19">
        <v>2025</v>
      </c>
      <c r="AR19" t="s">
        <v>209</v>
      </c>
      <c r="AS19" t="s">
        <v>113</v>
      </c>
      <c r="AT19" t="s">
        <v>214</v>
      </c>
      <c r="AU19" t="s">
        <v>215</v>
      </c>
      <c r="AV19" t="s">
        <v>100</v>
      </c>
      <c r="AW19" t="s">
        <v>200</v>
      </c>
      <c r="AX19" t="s">
        <v>117</v>
      </c>
      <c r="AY19">
        <v>2025</v>
      </c>
      <c r="AZ19">
        <v>0</v>
      </c>
      <c r="BA19" t="s">
        <v>216</v>
      </c>
      <c r="BB19">
        <v>401.42</v>
      </c>
      <c r="BC19">
        <v>0</v>
      </c>
    </row>
    <row r="20" spans="1:55" x14ac:dyDescent="0.35">
      <c r="A20" t="s">
        <v>1</v>
      </c>
      <c r="B20" t="s">
        <v>74</v>
      </c>
      <c r="C20" t="s">
        <v>217</v>
      </c>
      <c r="D20" t="s">
        <v>27</v>
      </c>
      <c r="E20" t="s">
        <v>74</v>
      </c>
      <c r="G20" t="s">
        <v>100</v>
      </c>
      <c r="H20" t="s">
        <v>101</v>
      </c>
      <c r="I20" t="s">
        <v>102</v>
      </c>
      <c r="J20" t="s">
        <v>82</v>
      </c>
      <c r="K20" t="s">
        <v>83</v>
      </c>
      <c r="L20" t="s">
        <v>84</v>
      </c>
      <c r="M20" t="s">
        <v>218</v>
      </c>
      <c r="N20" t="s">
        <v>219</v>
      </c>
      <c r="O20">
        <v>57</v>
      </c>
      <c r="P20" t="s">
        <v>87</v>
      </c>
      <c r="Q20" t="s">
        <v>220</v>
      </c>
      <c r="R20" t="s">
        <v>105</v>
      </c>
      <c r="S20">
        <v>0</v>
      </c>
      <c r="T20">
        <v>4181.7299999999996</v>
      </c>
      <c r="U20">
        <v>4181.7299999999996</v>
      </c>
      <c r="V20">
        <v>0</v>
      </c>
      <c r="W20">
        <v>0</v>
      </c>
      <c r="X20">
        <v>4181.7299999999996</v>
      </c>
      <c r="Y20">
        <v>0</v>
      </c>
      <c r="Z20">
        <v>0</v>
      </c>
      <c r="AA20">
        <v>0</v>
      </c>
      <c r="AB20">
        <v>0</v>
      </c>
      <c r="AC20">
        <v>0</v>
      </c>
      <c r="AE20" t="s">
        <v>181</v>
      </c>
      <c r="AF20" t="s">
        <v>182</v>
      </c>
      <c r="AG20" t="s">
        <v>221</v>
      </c>
      <c r="AL20"/>
      <c r="AM20" t="s">
        <v>95</v>
      </c>
      <c r="AN20" t="s">
        <v>94</v>
      </c>
      <c r="AO20" t="s">
        <v>222</v>
      </c>
      <c r="AP20" t="s">
        <v>111</v>
      </c>
      <c r="AQ20">
        <v>2023</v>
      </c>
      <c r="AR20" t="s">
        <v>223</v>
      </c>
      <c r="AS20" t="s">
        <v>224</v>
      </c>
      <c r="AT20" t="s">
        <v>225</v>
      </c>
      <c r="AV20" t="s">
        <v>100</v>
      </c>
      <c r="AW20" t="s">
        <v>226</v>
      </c>
      <c r="AX20" t="s">
        <v>117</v>
      </c>
      <c r="AY20">
        <v>2025</v>
      </c>
      <c r="AZ20">
        <v>0</v>
      </c>
      <c r="BA20" t="s">
        <v>227</v>
      </c>
      <c r="BB20">
        <v>4181.7299999999996</v>
      </c>
      <c r="BC20">
        <v>1</v>
      </c>
    </row>
    <row r="21" spans="1:55" x14ac:dyDescent="0.35">
      <c r="A21" t="s">
        <v>1</v>
      </c>
      <c r="B21" t="s">
        <v>74</v>
      </c>
      <c r="C21" t="s">
        <v>228</v>
      </c>
      <c r="D21" t="s">
        <v>76</v>
      </c>
      <c r="E21" t="s">
        <v>229</v>
      </c>
      <c r="F21" t="s">
        <v>78</v>
      </c>
      <c r="G21" t="s">
        <v>79</v>
      </c>
      <c r="H21" t="s">
        <v>80</v>
      </c>
      <c r="I21" t="s">
        <v>81</v>
      </c>
      <c r="J21" t="s">
        <v>82</v>
      </c>
      <c r="K21" t="s">
        <v>83</v>
      </c>
      <c r="L21" t="s">
        <v>84</v>
      </c>
      <c r="M21" t="s">
        <v>85</v>
      </c>
      <c r="N21" t="s">
        <v>86</v>
      </c>
      <c r="O21">
        <v>2</v>
      </c>
      <c r="P21" t="s">
        <v>87</v>
      </c>
      <c r="Q21" t="s">
        <v>88</v>
      </c>
      <c r="R21" t="s">
        <v>89</v>
      </c>
      <c r="S21">
        <v>0</v>
      </c>
      <c r="T21">
        <v>0</v>
      </c>
      <c r="U21">
        <v>0</v>
      </c>
      <c r="V21">
        <v>0</v>
      </c>
      <c r="W21">
        <v>16.75</v>
      </c>
      <c r="X21">
        <v>16.75</v>
      </c>
      <c r="Y21">
        <v>0</v>
      </c>
      <c r="Z21">
        <v>0</v>
      </c>
      <c r="AA21">
        <v>0</v>
      </c>
      <c r="AB21">
        <v>0</v>
      </c>
      <c r="AC21">
        <v>0</v>
      </c>
      <c r="AE21" t="s">
        <v>90</v>
      </c>
      <c r="AF21" t="s">
        <v>91</v>
      </c>
      <c r="AG21" t="s">
        <v>92</v>
      </c>
      <c r="AL21"/>
      <c r="AM21" t="s">
        <v>93</v>
      </c>
      <c r="AN21" t="s">
        <v>94</v>
      </c>
      <c r="AO21" t="s">
        <v>95</v>
      </c>
      <c r="AW21" t="s">
        <v>96</v>
      </c>
      <c r="AX21" t="s">
        <v>97</v>
      </c>
      <c r="AY21">
        <v>2025</v>
      </c>
      <c r="AZ21">
        <v>0</v>
      </c>
      <c r="BA21" t="s">
        <v>230</v>
      </c>
      <c r="BB21">
        <v>0</v>
      </c>
      <c r="BC21">
        <v>1</v>
      </c>
    </row>
    <row r="22" spans="1:55" x14ac:dyDescent="0.35">
      <c r="A22" t="s">
        <v>1</v>
      </c>
      <c r="B22" t="s">
        <v>74</v>
      </c>
      <c r="C22" t="s">
        <v>231</v>
      </c>
      <c r="D22" t="s">
        <v>27</v>
      </c>
      <c r="E22" t="s">
        <v>74</v>
      </c>
      <c r="G22" t="s">
        <v>79</v>
      </c>
      <c r="H22" t="s">
        <v>101</v>
      </c>
      <c r="I22" t="s">
        <v>102</v>
      </c>
      <c r="J22" t="s">
        <v>82</v>
      </c>
      <c r="K22" t="s">
        <v>83</v>
      </c>
      <c r="L22" t="s">
        <v>84</v>
      </c>
      <c r="M22" t="s">
        <v>232</v>
      </c>
      <c r="N22" t="s">
        <v>233</v>
      </c>
      <c r="O22">
        <v>20</v>
      </c>
      <c r="P22" t="s">
        <v>87</v>
      </c>
      <c r="Q22" t="s">
        <v>234</v>
      </c>
      <c r="R22" t="s">
        <v>235</v>
      </c>
      <c r="S22">
        <v>0</v>
      </c>
      <c r="T22">
        <v>573.97</v>
      </c>
      <c r="U22">
        <v>573.97</v>
      </c>
      <c r="V22">
        <v>0</v>
      </c>
      <c r="W22">
        <v>0</v>
      </c>
      <c r="X22">
        <v>573.97</v>
      </c>
      <c r="Y22">
        <v>0</v>
      </c>
      <c r="Z22">
        <v>0</v>
      </c>
      <c r="AA22">
        <v>0</v>
      </c>
      <c r="AB22">
        <v>0</v>
      </c>
      <c r="AC22">
        <v>0</v>
      </c>
      <c r="AE22" t="s">
        <v>236</v>
      </c>
      <c r="AF22" t="s">
        <v>237</v>
      </c>
      <c r="AG22" t="s">
        <v>238</v>
      </c>
      <c r="AL22"/>
      <c r="AM22" t="s">
        <v>95</v>
      </c>
      <c r="AN22" t="s">
        <v>184</v>
      </c>
      <c r="AO22" t="s">
        <v>95</v>
      </c>
      <c r="AP22" t="s">
        <v>111</v>
      </c>
      <c r="AQ22">
        <v>2024</v>
      </c>
      <c r="AR22" t="s">
        <v>239</v>
      </c>
      <c r="AS22" t="s">
        <v>240</v>
      </c>
      <c r="AT22" t="s">
        <v>241</v>
      </c>
      <c r="AU22" t="s">
        <v>242</v>
      </c>
      <c r="AV22" t="s">
        <v>79</v>
      </c>
      <c r="AW22" t="s">
        <v>243</v>
      </c>
      <c r="AX22" t="s">
        <v>117</v>
      </c>
      <c r="AY22">
        <v>2025</v>
      </c>
      <c r="AZ22">
        <v>0</v>
      </c>
      <c r="BA22" t="s">
        <v>244</v>
      </c>
      <c r="BB22">
        <v>573.97</v>
      </c>
      <c r="BC22">
        <v>1</v>
      </c>
    </row>
    <row r="23" spans="1:55" x14ac:dyDescent="0.35">
      <c r="A23" t="s">
        <v>1</v>
      </c>
      <c r="B23" t="s">
        <v>74</v>
      </c>
      <c r="C23" t="s">
        <v>245</v>
      </c>
      <c r="D23" t="s">
        <v>76</v>
      </c>
      <c r="E23" t="s">
        <v>246</v>
      </c>
      <c r="G23" t="s">
        <v>247</v>
      </c>
      <c r="H23" t="s">
        <v>101</v>
      </c>
      <c r="I23" t="s">
        <v>102</v>
      </c>
      <c r="J23" t="s">
        <v>82</v>
      </c>
      <c r="K23" t="s">
        <v>83</v>
      </c>
      <c r="L23" t="s">
        <v>84</v>
      </c>
      <c r="M23" t="s">
        <v>248</v>
      </c>
      <c r="N23" t="s">
        <v>194</v>
      </c>
      <c r="O23">
        <v>6</v>
      </c>
      <c r="P23" t="s">
        <v>104</v>
      </c>
      <c r="R23" t="s">
        <v>195</v>
      </c>
      <c r="S23">
        <v>0</v>
      </c>
      <c r="T23">
        <v>2042.86</v>
      </c>
      <c r="U23">
        <v>2042.86</v>
      </c>
      <c r="V23">
        <v>0</v>
      </c>
      <c r="W23">
        <v>0</v>
      </c>
      <c r="X23">
        <v>2042.86</v>
      </c>
      <c r="Y23">
        <v>0</v>
      </c>
      <c r="Z23">
        <v>0</v>
      </c>
      <c r="AA23">
        <v>0</v>
      </c>
      <c r="AB23">
        <v>0</v>
      </c>
      <c r="AC23">
        <v>0</v>
      </c>
      <c r="AE23" t="s">
        <v>249</v>
      </c>
      <c r="AF23" t="s">
        <v>250</v>
      </c>
      <c r="AG23" t="s">
        <v>251</v>
      </c>
      <c r="AL23"/>
      <c r="AM23" t="s">
        <v>95</v>
      </c>
      <c r="AN23" t="s">
        <v>126</v>
      </c>
      <c r="AO23" t="s">
        <v>252</v>
      </c>
      <c r="AW23" t="s">
        <v>200</v>
      </c>
      <c r="AX23" t="s">
        <v>117</v>
      </c>
      <c r="AY23">
        <v>2025</v>
      </c>
      <c r="AZ23">
        <v>0</v>
      </c>
      <c r="BA23" t="s">
        <v>253</v>
      </c>
      <c r="BB23">
        <v>2042.86</v>
      </c>
      <c r="BC23">
        <v>1</v>
      </c>
    </row>
    <row r="24" spans="1:55" x14ac:dyDescent="0.35">
      <c r="A24" t="s">
        <v>1</v>
      </c>
      <c r="B24" t="s">
        <v>74</v>
      </c>
      <c r="C24" t="s">
        <v>254</v>
      </c>
      <c r="D24" t="s">
        <v>27</v>
      </c>
      <c r="E24" t="s">
        <v>255</v>
      </c>
      <c r="F24" t="s">
        <v>78</v>
      </c>
      <c r="G24" t="s">
        <v>100</v>
      </c>
      <c r="H24" t="s">
        <v>256</v>
      </c>
      <c r="I24" t="s">
        <v>257</v>
      </c>
      <c r="J24" t="s">
        <v>82</v>
      </c>
      <c r="K24" t="s">
        <v>83</v>
      </c>
      <c r="L24" t="s">
        <v>84</v>
      </c>
      <c r="M24" t="s">
        <v>258</v>
      </c>
      <c r="N24" t="s">
        <v>169</v>
      </c>
      <c r="O24">
        <v>19</v>
      </c>
      <c r="P24" t="s">
        <v>104</v>
      </c>
      <c r="R24" t="s">
        <v>259</v>
      </c>
      <c r="S24">
        <v>25000</v>
      </c>
      <c r="T24">
        <v>0</v>
      </c>
      <c r="U24">
        <v>25000</v>
      </c>
      <c r="V24">
        <v>5000</v>
      </c>
      <c r="W24">
        <v>0</v>
      </c>
      <c r="X24">
        <v>30000</v>
      </c>
      <c r="Y24">
        <v>0</v>
      </c>
      <c r="Z24">
        <v>0</v>
      </c>
      <c r="AA24">
        <v>0</v>
      </c>
      <c r="AB24">
        <v>0</v>
      </c>
      <c r="AC24">
        <v>0</v>
      </c>
      <c r="AE24" t="s">
        <v>189</v>
      </c>
      <c r="AF24" t="s">
        <v>260</v>
      </c>
      <c r="AG24" t="s">
        <v>261</v>
      </c>
      <c r="AL24"/>
      <c r="AM24" t="s">
        <v>95</v>
      </c>
      <c r="AN24" t="s">
        <v>109</v>
      </c>
      <c r="AO24" t="s">
        <v>95</v>
      </c>
      <c r="AW24" t="s">
        <v>262</v>
      </c>
      <c r="AX24" t="s">
        <v>263</v>
      </c>
      <c r="AY24">
        <v>2025</v>
      </c>
      <c r="AZ24">
        <v>0</v>
      </c>
      <c r="BA24" t="s">
        <v>264</v>
      </c>
      <c r="BB24">
        <v>25000</v>
      </c>
      <c r="BC24">
        <v>1</v>
      </c>
    </row>
    <row r="25" spans="1:55" x14ac:dyDescent="0.35">
      <c r="A25" t="s">
        <v>1</v>
      </c>
      <c r="B25" t="s">
        <v>74</v>
      </c>
      <c r="C25" t="s">
        <v>265</v>
      </c>
      <c r="D25" t="s">
        <v>27</v>
      </c>
      <c r="E25" t="s">
        <v>120</v>
      </c>
      <c r="F25" t="s">
        <v>121</v>
      </c>
      <c r="G25" t="s">
        <v>100</v>
      </c>
      <c r="H25" t="s">
        <v>80</v>
      </c>
      <c r="I25" t="s">
        <v>81</v>
      </c>
      <c r="J25" t="s">
        <v>82</v>
      </c>
      <c r="K25" t="s">
        <v>83</v>
      </c>
      <c r="L25" t="s">
        <v>84</v>
      </c>
      <c r="M25" t="s">
        <v>266</v>
      </c>
      <c r="N25" t="s">
        <v>267</v>
      </c>
      <c r="O25">
        <v>3</v>
      </c>
      <c r="P25" t="s">
        <v>87</v>
      </c>
      <c r="Q25" t="s">
        <v>268</v>
      </c>
      <c r="R25" t="s">
        <v>131</v>
      </c>
      <c r="S25">
        <v>0</v>
      </c>
      <c r="T25">
        <v>3263.94</v>
      </c>
      <c r="U25">
        <v>3263.94</v>
      </c>
      <c r="V25">
        <v>0</v>
      </c>
      <c r="W25">
        <v>450</v>
      </c>
      <c r="X25">
        <v>3713.94</v>
      </c>
      <c r="Y25">
        <v>0</v>
      </c>
      <c r="Z25">
        <v>0</v>
      </c>
      <c r="AA25">
        <v>0</v>
      </c>
      <c r="AB25">
        <v>0</v>
      </c>
      <c r="AC25">
        <v>0</v>
      </c>
      <c r="AE25" t="s">
        <v>269</v>
      </c>
      <c r="AF25" t="s">
        <v>91</v>
      </c>
      <c r="AG25" t="s">
        <v>172</v>
      </c>
      <c r="AL25"/>
      <c r="AM25" t="s">
        <v>270</v>
      </c>
      <c r="AN25" t="s">
        <v>109</v>
      </c>
      <c r="AO25" t="s">
        <v>95</v>
      </c>
      <c r="AW25" t="s">
        <v>271</v>
      </c>
      <c r="AX25" t="s">
        <v>97</v>
      </c>
      <c r="AY25">
        <v>2025</v>
      </c>
      <c r="AZ25">
        <v>0</v>
      </c>
      <c r="BA25" t="s">
        <v>272</v>
      </c>
      <c r="BB25">
        <v>3263.94</v>
      </c>
      <c r="BC25">
        <v>1</v>
      </c>
    </row>
    <row r="26" spans="1:55" x14ac:dyDescent="0.35">
      <c r="A26" t="s">
        <v>1</v>
      </c>
      <c r="B26" t="s">
        <v>74</v>
      </c>
      <c r="C26" t="s">
        <v>245</v>
      </c>
      <c r="D26" t="s">
        <v>27</v>
      </c>
      <c r="E26" t="s">
        <v>74</v>
      </c>
      <c r="G26" t="s">
        <v>247</v>
      </c>
      <c r="H26" t="s">
        <v>101</v>
      </c>
      <c r="I26" t="s">
        <v>102</v>
      </c>
      <c r="J26" t="s">
        <v>82</v>
      </c>
      <c r="K26" t="s">
        <v>83</v>
      </c>
      <c r="L26" t="s">
        <v>84</v>
      </c>
      <c r="M26" t="s">
        <v>248</v>
      </c>
      <c r="N26" t="s">
        <v>194</v>
      </c>
      <c r="O26">
        <v>6</v>
      </c>
      <c r="P26" t="s">
        <v>104</v>
      </c>
      <c r="R26" t="s">
        <v>105</v>
      </c>
      <c r="S26">
        <v>0</v>
      </c>
      <c r="T26">
        <v>0</v>
      </c>
      <c r="U26">
        <v>0</v>
      </c>
      <c r="V26">
        <v>0</v>
      </c>
      <c r="W26">
        <v>0</v>
      </c>
      <c r="X26">
        <v>0</v>
      </c>
      <c r="Y26">
        <v>0</v>
      </c>
      <c r="Z26">
        <v>0</v>
      </c>
      <c r="AA26">
        <v>0</v>
      </c>
      <c r="AB26">
        <v>0</v>
      </c>
      <c r="AC26">
        <v>0</v>
      </c>
      <c r="AE26" t="s">
        <v>249</v>
      </c>
      <c r="AF26" t="s">
        <v>250</v>
      </c>
      <c r="AG26" t="s">
        <v>251</v>
      </c>
      <c r="AL26"/>
      <c r="AM26" t="s">
        <v>95</v>
      </c>
      <c r="AN26" t="s">
        <v>126</v>
      </c>
      <c r="AO26" t="s">
        <v>252</v>
      </c>
      <c r="AP26" t="s">
        <v>111</v>
      </c>
      <c r="AQ26">
        <v>2025</v>
      </c>
      <c r="AR26" t="s">
        <v>209</v>
      </c>
      <c r="AS26" t="s">
        <v>113</v>
      </c>
      <c r="AT26" t="s">
        <v>273</v>
      </c>
      <c r="AW26" t="s">
        <v>200</v>
      </c>
      <c r="AX26" t="s">
        <v>117</v>
      </c>
      <c r="AY26">
        <v>2025</v>
      </c>
      <c r="AZ26">
        <v>0</v>
      </c>
      <c r="BA26" t="s">
        <v>274</v>
      </c>
      <c r="BB26">
        <v>0</v>
      </c>
      <c r="BC26">
        <v>0</v>
      </c>
    </row>
    <row r="27" spans="1:55" x14ac:dyDescent="0.35">
      <c r="A27" t="s">
        <v>1</v>
      </c>
      <c r="B27" t="s">
        <v>74</v>
      </c>
      <c r="C27" t="s">
        <v>275</v>
      </c>
      <c r="D27" t="s">
        <v>27</v>
      </c>
      <c r="E27" t="s">
        <v>276</v>
      </c>
      <c r="F27" t="s">
        <v>78</v>
      </c>
      <c r="G27" t="s">
        <v>277</v>
      </c>
      <c r="H27" t="s">
        <v>256</v>
      </c>
      <c r="I27" t="s">
        <v>257</v>
      </c>
      <c r="J27" t="s">
        <v>82</v>
      </c>
      <c r="K27" t="s">
        <v>83</v>
      </c>
      <c r="L27" t="s">
        <v>84</v>
      </c>
      <c r="M27" t="s">
        <v>278</v>
      </c>
      <c r="N27" t="s">
        <v>279</v>
      </c>
      <c r="O27">
        <v>69</v>
      </c>
      <c r="P27" t="s">
        <v>104</v>
      </c>
      <c r="R27" t="s">
        <v>259</v>
      </c>
      <c r="S27">
        <v>99</v>
      </c>
      <c r="T27">
        <v>0</v>
      </c>
      <c r="U27">
        <v>99</v>
      </c>
      <c r="V27">
        <v>0</v>
      </c>
      <c r="W27">
        <v>0</v>
      </c>
      <c r="X27">
        <v>99</v>
      </c>
      <c r="Y27">
        <v>0</v>
      </c>
      <c r="Z27">
        <v>0</v>
      </c>
      <c r="AA27">
        <v>0</v>
      </c>
      <c r="AB27">
        <v>0</v>
      </c>
      <c r="AC27">
        <v>0</v>
      </c>
      <c r="AE27" t="s">
        <v>189</v>
      </c>
      <c r="AF27" t="s">
        <v>260</v>
      </c>
      <c r="AG27" t="s">
        <v>261</v>
      </c>
      <c r="AL27"/>
      <c r="AM27" t="s">
        <v>95</v>
      </c>
      <c r="AN27" t="s">
        <v>94</v>
      </c>
      <c r="AO27" t="s">
        <v>95</v>
      </c>
      <c r="AW27" t="s">
        <v>262</v>
      </c>
      <c r="AX27" t="s">
        <v>263</v>
      </c>
      <c r="AY27">
        <v>2025</v>
      </c>
      <c r="AZ27">
        <v>0</v>
      </c>
      <c r="BA27" t="s">
        <v>280</v>
      </c>
      <c r="BB27">
        <v>99</v>
      </c>
      <c r="BC27">
        <v>1</v>
      </c>
    </row>
    <row r="28" spans="1:55" x14ac:dyDescent="0.35">
      <c r="A28" t="s">
        <v>1</v>
      </c>
      <c r="B28" t="s">
        <v>74</v>
      </c>
      <c r="C28" t="s">
        <v>281</v>
      </c>
      <c r="D28" t="s">
        <v>27</v>
      </c>
      <c r="E28" t="s">
        <v>282</v>
      </c>
      <c r="F28" t="s">
        <v>283</v>
      </c>
      <c r="G28" t="s">
        <v>284</v>
      </c>
      <c r="H28" t="s">
        <v>80</v>
      </c>
      <c r="I28" t="s">
        <v>81</v>
      </c>
      <c r="J28" t="s">
        <v>82</v>
      </c>
      <c r="K28" t="s">
        <v>83</v>
      </c>
      <c r="L28" t="s">
        <v>84</v>
      </c>
      <c r="M28" t="s">
        <v>278</v>
      </c>
      <c r="N28" t="s">
        <v>285</v>
      </c>
      <c r="O28">
        <v>1</v>
      </c>
      <c r="P28" t="s">
        <v>87</v>
      </c>
      <c r="Q28" t="s">
        <v>286</v>
      </c>
      <c r="R28" t="s">
        <v>131</v>
      </c>
      <c r="S28">
        <v>0</v>
      </c>
      <c r="T28">
        <v>0</v>
      </c>
      <c r="U28">
        <v>0</v>
      </c>
      <c r="V28">
        <v>0</v>
      </c>
      <c r="W28">
        <v>0</v>
      </c>
      <c r="X28">
        <v>0</v>
      </c>
      <c r="Y28">
        <v>0</v>
      </c>
      <c r="Z28">
        <v>0</v>
      </c>
      <c r="AA28">
        <v>0</v>
      </c>
      <c r="AB28">
        <v>0</v>
      </c>
      <c r="AC28">
        <v>0</v>
      </c>
      <c r="AE28" t="s">
        <v>159</v>
      </c>
      <c r="AF28" t="s">
        <v>287</v>
      </c>
      <c r="AG28" t="s">
        <v>288</v>
      </c>
      <c r="AL28"/>
      <c r="AM28" t="s">
        <v>173</v>
      </c>
      <c r="AN28" t="s">
        <v>94</v>
      </c>
      <c r="AO28" t="s">
        <v>95</v>
      </c>
      <c r="AW28" t="s">
        <v>289</v>
      </c>
      <c r="AX28" t="s">
        <v>97</v>
      </c>
      <c r="AY28">
        <v>2025</v>
      </c>
      <c r="AZ28">
        <v>0</v>
      </c>
      <c r="BA28" t="s">
        <v>290</v>
      </c>
      <c r="BB28">
        <v>0</v>
      </c>
      <c r="BC28">
        <v>1</v>
      </c>
    </row>
    <row r="29" spans="1:55" x14ac:dyDescent="0.35">
      <c r="A29" t="s">
        <v>1</v>
      </c>
      <c r="B29" t="s">
        <v>74</v>
      </c>
      <c r="C29" t="s">
        <v>136</v>
      </c>
      <c r="D29" t="s">
        <v>76</v>
      </c>
      <c r="E29" t="s">
        <v>137</v>
      </c>
      <c r="F29" t="s">
        <v>78</v>
      </c>
      <c r="G29" t="s">
        <v>79</v>
      </c>
      <c r="H29" t="s">
        <v>80</v>
      </c>
      <c r="I29" t="s">
        <v>81</v>
      </c>
      <c r="J29" t="s">
        <v>82</v>
      </c>
      <c r="K29" t="s">
        <v>83</v>
      </c>
      <c r="L29" t="s">
        <v>84</v>
      </c>
      <c r="M29" t="s">
        <v>85</v>
      </c>
      <c r="N29" t="s">
        <v>86</v>
      </c>
      <c r="O29">
        <v>2</v>
      </c>
      <c r="P29" t="s">
        <v>87</v>
      </c>
      <c r="Q29" t="s">
        <v>88</v>
      </c>
      <c r="R29" t="s">
        <v>89</v>
      </c>
      <c r="S29">
        <v>0</v>
      </c>
      <c r="T29">
        <v>1163.79</v>
      </c>
      <c r="U29">
        <v>1163.79</v>
      </c>
      <c r="V29">
        <v>0</v>
      </c>
      <c r="W29">
        <v>40.15</v>
      </c>
      <c r="X29">
        <v>1203.94</v>
      </c>
      <c r="Y29">
        <v>0</v>
      </c>
      <c r="Z29">
        <v>0</v>
      </c>
      <c r="AA29">
        <v>0</v>
      </c>
      <c r="AB29">
        <v>0</v>
      </c>
      <c r="AC29">
        <v>0</v>
      </c>
      <c r="AE29" t="s">
        <v>90</v>
      </c>
      <c r="AF29" t="s">
        <v>91</v>
      </c>
      <c r="AG29" t="s">
        <v>92</v>
      </c>
      <c r="AL29"/>
      <c r="AM29" t="s">
        <v>93</v>
      </c>
      <c r="AN29" t="s">
        <v>94</v>
      </c>
      <c r="AO29" t="s">
        <v>95</v>
      </c>
      <c r="AW29" t="s">
        <v>96</v>
      </c>
      <c r="AX29" t="s">
        <v>97</v>
      </c>
      <c r="AY29">
        <v>2025</v>
      </c>
      <c r="AZ29">
        <v>0</v>
      </c>
      <c r="BA29" t="s">
        <v>291</v>
      </c>
      <c r="BB29">
        <v>1163.79</v>
      </c>
      <c r="BC29">
        <v>0</v>
      </c>
    </row>
    <row r="30" spans="1:55" x14ac:dyDescent="0.35">
      <c r="A30" t="s">
        <v>1</v>
      </c>
      <c r="B30" t="s">
        <v>74</v>
      </c>
      <c r="C30" t="s">
        <v>228</v>
      </c>
      <c r="D30" t="s">
        <v>27</v>
      </c>
      <c r="E30" t="s">
        <v>229</v>
      </c>
      <c r="F30" t="s">
        <v>78</v>
      </c>
      <c r="G30" t="s">
        <v>79</v>
      </c>
      <c r="H30" t="s">
        <v>80</v>
      </c>
      <c r="I30" t="s">
        <v>81</v>
      </c>
      <c r="J30" t="s">
        <v>82</v>
      </c>
      <c r="K30" t="s">
        <v>83</v>
      </c>
      <c r="L30" t="s">
        <v>84</v>
      </c>
      <c r="M30" t="s">
        <v>85</v>
      </c>
      <c r="N30" t="s">
        <v>86</v>
      </c>
      <c r="O30">
        <v>2</v>
      </c>
      <c r="P30" t="s">
        <v>87</v>
      </c>
      <c r="Q30" t="s">
        <v>88</v>
      </c>
      <c r="R30" t="s">
        <v>131</v>
      </c>
      <c r="S30">
        <v>0</v>
      </c>
      <c r="T30">
        <v>0</v>
      </c>
      <c r="U30">
        <v>0</v>
      </c>
      <c r="V30">
        <v>0</v>
      </c>
      <c r="W30">
        <v>0</v>
      </c>
      <c r="X30">
        <v>0</v>
      </c>
      <c r="Y30">
        <v>0</v>
      </c>
      <c r="Z30">
        <v>0</v>
      </c>
      <c r="AA30">
        <v>0</v>
      </c>
      <c r="AB30">
        <v>0</v>
      </c>
      <c r="AC30">
        <v>0</v>
      </c>
      <c r="AE30" t="s">
        <v>90</v>
      </c>
      <c r="AF30" t="s">
        <v>91</v>
      </c>
      <c r="AG30" t="s">
        <v>92</v>
      </c>
      <c r="AL30"/>
      <c r="AM30" t="s">
        <v>93</v>
      </c>
      <c r="AN30" t="s">
        <v>94</v>
      </c>
      <c r="AO30" t="s">
        <v>95</v>
      </c>
      <c r="AW30" t="s">
        <v>96</v>
      </c>
      <c r="AX30" t="s">
        <v>97</v>
      </c>
      <c r="AY30">
        <v>2025</v>
      </c>
      <c r="AZ30">
        <v>0</v>
      </c>
      <c r="BA30" t="s">
        <v>292</v>
      </c>
      <c r="BB30">
        <v>0</v>
      </c>
      <c r="BC30">
        <v>0</v>
      </c>
    </row>
    <row r="31" spans="1:55" x14ac:dyDescent="0.35">
      <c r="A31" t="s">
        <v>1</v>
      </c>
      <c r="B31" t="s">
        <v>74</v>
      </c>
      <c r="C31" t="s">
        <v>265</v>
      </c>
      <c r="D31" t="s">
        <v>76</v>
      </c>
      <c r="E31" t="s">
        <v>120</v>
      </c>
      <c r="F31" t="s">
        <v>121</v>
      </c>
      <c r="G31" t="s">
        <v>100</v>
      </c>
      <c r="H31" t="s">
        <v>80</v>
      </c>
      <c r="I31" t="s">
        <v>81</v>
      </c>
      <c r="J31" t="s">
        <v>82</v>
      </c>
      <c r="K31" t="s">
        <v>83</v>
      </c>
      <c r="L31" t="s">
        <v>84</v>
      </c>
      <c r="M31" t="s">
        <v>266</v>
      </c>
      <c r="N31" t="s">
        <v>267</v>
      </c>
      <c r="O31">
        <v>3</v>
      </c>
      <c r="P31" t="s">
        <v>87</v>
      </c>
      <c r="Q31" t="s">
        <v>268</v>
      </c>
      <c r="R31" t="s">
        <v>89</v>
      </c>
      <c r="S31">
        <v>0</v>
      </c>
      <c r="T31">
        <v>3101.61</v>
      </c>
      <c r="U31">
        <v>3101.61</v>
      </c>
      <c r="V31">
        <v>0</v>
      </c>
      <c r="W31">
        <v>584.02</v>
      </c>
      <c r="X31">
        <v>3685.63</v>
      </c>
      <c r="Y31">
        <v>0</v>
      </c>
      <c r="Z31">
        <v>0</v>
      </c>
      <c r="AA31">
        <v>0</v>
      </c>
      <c r="AB31">
        <v>0</v>
      </c>
      <c r="AC31">
        <v>-30</v>
      </c>
      <c r="AE31" t="s">
        <v>269</v>
      </c>
      <c r="AF31" t="s">
        <v>91</v>
      </c>
      <c r="AG31" t="s">
        <v>172</v>
      </c>
      <c r="AL31"/>
      <c r="AM31" t="s">
        <v>270</v>
      </c>
      <c r="AN31" t="s">
        <v>109</v>
      </c>
      <c r="AO31" t="s">
        <v>95</v>
      </c>
      <c r="AW31" t="s">
        <v>271</v>
      </c>
      <c r="AX31" t="s">
        <v>97</v>
      </c>
      <c r="AY31">
        <v>2025</v>
      </c>
      <c r="AZ31">
        <v>0</v>
      </c>
      <c r="BA31" t="s">
        <v>293</v>
      </c>
      <c r="BB31">
        <v>3101.61</v>
      </c>
      <c r="BC31">
        <v>0</v>
      </c>
    </row>
    <row r="32" spans="1:55" x14ac:dyDescent="0.35">
      <c r="A32" t="s">
        <v>1</v>
      </c>
      <c r="B32" t="s">
        <v>74</v>
      </c>
      <c r="C32" t="s">
        <v>281</v>
      </c>
      <c r="D32" t="s">
        <v>76</v>
      </c>
      <c r="E32" t="s">
        <v>282</v>
      </c>
      <c r="F32" t="s">
        <v>283</v>
      </c>
      <c r="G32" t="s">
        <v>284</v>
      </c>
      <c r="H32" t="s">
        <v>80</v>
      </c>
      <c r="I32" t="s">
        <v>81</v>
      </c>
      <c r="J32" t="s">
        <v>82</v>
      </c>
      <c r="K32" t="s">
        <v>83</v>
      </c>
      <c r="L32" t="s">
        <v>84</v>
      </c>
      <c r="M32" t="s">
        <v>278</v>
      </c>
      <c r="N32" t="s">
        <v>285</v>
      </c>
      <c r="O32">
        <v>1</v>
      </c>
      <c r="P32" t="s">
        <v>87</v>
      </c>
      <c r="Q32" t="s">
        <v>286</v>
      </c>
      <c r="R32" t="s">
        <v>89</v>
      </c>
      <c r="S32">
        <v>0</v>
      </c>
      <c r="T32">
        <v>773.04</v>
      </c>
      <c r="U32">
        <v>773.04</v>
      </c>
      <c r="V32">
        <v>0</v>
      </c>
      <c r="W32">
        <v>17.89</v>
      </c>
      <c r="X32">
        <v>790.93</v>
      </c>
      <c r="Y32">
        <v>0</v>
      </c>
      <c r="Z32">
        <v>0</v>
      </c>
      <c r="AA32">
        <v>0</v>
      </c>
      <c r="AB32">
        <v>0</v>
      </c>
      <c r="AC32">
        <v>0</v>
      </c>
      <c r="AE32" t="s">
        <v>159</v>
      </c>
      <c r="AF32" t="s">
        <v>287</v>
      </c>
      <c r="AG32" t="s">
        <v>288</v>
      </c>
      <c r="AL32"/>
      <c r="AM32" t="s">
        <v>173</v>
      </c>
      <c r="AN32" t="s">
        <v>94</v>
      </c>
      <c r="AO32" t="s">
        <v>95</v>
      </c>
      <c r="AW32" t="s">
        <v>289</v>
      </c>
      <c r="AX32" t="s">
        <v>97</v>
      </c>
      <c r="AY32">
        <v>2025</v>
      </c>
      <c r="AZ32">
        <v>0</v>
      </c>
      <c r="BA32" t="s">
        <v>294</v>
      </c>
      <c r="BB32">
        <v>773.04</v>
      </c>
      <c r="BC32">
        <v>0</v>
      </c>
    </row>
    <row r="33" spans="1:55" x14ac:dyDescent="0.35">
      <c r="A33" t="s">
        <v>1</v>
      </c>
      <c r="B33" t="s">
        <v>74</v>
      </c>
      <c r="C33" t="s">
        <v>153</v>
      </c>
      <c r="D33" t="s">
        <v>76</v>
      </c>
      <c r="E33" t="s">
        <v>154</v>
      </c>
      <c r="F33" t="s">
        <v>155</v>
      </c>
      <c r="G33" t="s">
        <v>79</v>
      </c>
      <c r="H33" t="s">
        <v>80</v>
      </c>
      <c r="I33" t="s">
        <v>81</v>
      </c>
      <c r="J33" t="s">
        <v>82</v>
      </c>
      <c r="K33" t="s">
        <v>83</v>
      </c>
      <c r="L33" t="s">
        <v>84</v>
      </c>
      <c r="M33" t="s">
        <v>156</v>
      </c>
      <c r="N33" t="s">
        <v>157</v>
      </c>
      <c r="O33">
        <v>19</v>
      </c>
      <c r="P33" t="s">
        <v>87</v>
      </c>
      <c r="Q33" t="s">
        <v>158</v>
      </c>
      <c r="R33" t="s">
        <v>89</v>
      </c>
      <c r="S33">
        <v>0</v>
      </c>
      <c r="T33">
        <v>0</v>
      </c>
      <c r="U33">
        <v>0</v>
      </c>
      <c r="V33">
        <v>0</v>
      </c>
      <c r="W33">
        <v>0</v>
      </c>
      <c r="X33">
        <v>0</v>
      </c>
      <c r="Y33">
        <v>0</v>
      </c>
      <c r="Z33">
        <v>0</v>
      </c>
      <c r="AA33">
        <v>0</v>
      </c>
      <c r="AB33">
        <v>0</v>
      </c>
      <c r="AC33">
        <v>0</v>
      </c>
      <c r="AE33" t="s">
        <v>159</v>
      </c>
      <c r="AF33" t="s">
        <v>91</v>
      </c>
      <c r="AG33" t="s">
        <v>160</v>
      </c>
      <c r="AL33"/>
      <c r="AM33" t="s">
        <v>161</v>
      </c>
      <c r="AN33" t="s">
        <v>126</v>
      </c>
      <c r="AO33" t="s">
        <v>95</v>
      </c>
      <c r="AW33" t="s">
        <v>162</v>
      </c>
      <c r="AX33" t="s">
        <v>97</v>
      </c>
      <c r="AY33">
        <v>2025</v>
      </c>
      <c r="AZ33">
        <v>0</v>
      </c>
      <c r="BA33" t="s">
        <v>295</v>
      </c>
      <c r="BB33">
        <v>0</v>
      </c>
      <c r="BC33">
        <v>0</v>
      </c>
    </row>
    <row r="34" spans="1:55" x14ac:dyDescent="0.35">
      <c r="A34" t="s">
        <v>1</v>
      </c>
      <c r="B34" t="s">
        <v>74</v>
      </c>
      <c r="C34" t="s">
        <v>99</v>
      </c>
      <c r="D34" t="s">
        <v>76</v>
      </c>
      <c r="E34" t="s">
        <v>296</v>
      </c>
      <c r="G34" t="s">
        <v>100</v>
      </c>
      <c r="H34" t="s">
        <v>101</v>
      </c>
      <c r="I34" t="s">
        <v>102</v>
      </c>
      <c r="J34" t="s">
        <v>82</v>
      </c>
      <c r="K34" t="s">
        <v>83</v>
      </c>
      <c r="L34" t="s">
        <v>84</v>
      </c>
      <c r="M34" t="s">
        <v>103</v>
      </c>
      <c r="N34" t="s">
        <v>103</v>
      </c>
      <c r="O34">
        <v>0</v>
      </c>
      <c r="P34" t="s">
        <v>104</v>
      </c>
      <c r="R34" t="s">
        <v>195</v>
      </c>
      <c r="S34">
        <v>0</v>
      </c>
      <c r="T34">
        <v>2048.54</v>
      </c>
      <c r="U34">
        <v>2048.54</v>
      </c>
      <c r="V34">
        <v>0</v>
      </c>
      <c r="W34">
        <v>0</v>
      </c>
      <c r="X34">
        <v>2048.54</v>
      </c>
      <c r="Y34">
        <v>0</v>
      </c>
      <c r="Z34">
        <v>0</v>
      </c>
      <c r="AA34">
        <v>0</v>
      </c>
      <c r="AB34">
        <v>0</v>
      </c>
      <c r="AC34">
        <v>0</v>
      </c>
      <c r="AE34" t="s">
        <v>106</v>
      </c>
      <c r="AF34" t="s">
        <v>107</v>
      </c>
      <c r="AG34" t="s">
        <v>108</v>
      </c>
      <c r="AL34"/>
      <c r="AM34" t="s">
        <v>95</v>
      </c>
      <c r="AN34" t="s">
        <v>109</v>
      </c>
      <c r="AO34" t="s">
        <v>110</v>
      </c>
      <c r="AW34" t="s">
        <v>116</v>
      </c>
      <c r="AX34" t="s">
        <v>117</v>
      </c>
      <c r="AY34">
        <v>2025</v>
      </c>
      <c r="AZ34">
        <v>0</v>
      </c>
      <c r="BA34" t="s">
        <v>297</v>
      </c>
      <c r="BB34">
        <v>2048.54</v>
      </c>
      <c r="BC34">
        <v>0</v>
      </c>
    </row>
    <row r="35" spans="1:55" x14ac:dyDescent="0.35">
      <c r="A35" t="s">
        <v>1</v>
      </c>
      <c r="B35" t="s">
        <v>74</v>
      </c>
      <c r="C35" t="s">
        <v>75</v>
      </c>
      <c r="D35" t="s">
        <v>27</v>
      </c>
      <c r="E35" t="s">
        <v>77</v>
      </c>
      <c r="F35" t="s">
        <v>78</v>
      </c>
      <c r="G35" t="s">
        <v>79</v>
      </c>
      <c r="H35" t="s">
        <v>80</v>
      </c>
      <c r="I35" t="s">
        <v>81</v>
      </c>
      <c r="J35" t="s">
        <v>82</v>
      </c>
      <c r="K35" t="s">
        <v>83</v>
      </c>
      <c r="L35" t="s">
        <v>84</v>
      </c>
      <c r="M35" t="s">
        <v>85</v>
      </c>
      <c r="N35" t="s">
        <v>86</v>
      </c>
      <c r="O35">
        <v>2</v>
      </c>
      <c r="P35" t="s">
        <v>87</v>
      </c>
      <c r="Q35" t="s">
        <v>88</v>
      </c>
      <c r="R35" t="s">
        <v>131</v>
      </c>
      <c r="S35">
        <v>0</v>
      </c>
      <c r="T35">
        <v>0</v>
      </c>
      <c r="U35">
        <v>0</v>
      </c>
      <c r="V35">
        <v>0</v>
      </c>
      <c r="W35">
        <v>0</v>
      </c>
      <c r="X35">
        <v>0</v>
      </c>
      <c r="Y35">
        <v>0</v>
      </c>
      <c r="Z35">
        <v>0</v>
      </c>
      <c r="AA35">
        <v>0</v>
      </c>
      <c r="AB35">
        <v>0</v>
      </c>
      <c r="AC35">
        <v>0</v>
      </c>
      <c r="AE35" t="s">
        <v>90</v>
      </c>
      <c r="AF35" t="s">
        <v>91</v>
      </c>
      <c r="AG35" t="s">
        <v>92</v>
      </c>
      <c r="AL35"/>
      <c r="AM35" t="s">
        <v>93</v>
      </c>
      <c r="AN35" t="s">
        <v>94</v>
      </c>
      <c r="AO35" t="s">
        <v>95</v>
      </c>
      <c r="AW35" t="s">
        <v>96</v>
      </c>
      <c r="AX35" t="s">
        <v>97</v>
      </c>
      <c r="AY35">
        <v>2025</v>
      </c>
      <c r="AZ35">
        <v>0</v>
      </c>
      <c r="BA35" t="s">
        <v>298</v>
      </c>
      <c r="BB35">
        <v>0</v>
      </c>
      <c r="BC35">
        <v>0</v>
      </c>
    </row>
    <row r="36" spans="1:55" x14ac:dyDescent="0.35">
      <c r="A36" t="s">
        <v>1</v>
      </c>
      <c r="B36" t="s">
        <v>74</v>
      </c>
      <c r="C36" t="s">
        <v>299</v>
      </c>
      <c r="D36" t="s">
        <v>27</v>
      </c>
      <c r="E36" t="s">
        <v>300</v>
      </c>
      <c r="G36" t="s">
        <v>284</v>
      </c>
      <c r="H36" t="s">
        <v>256</v>
      </c>
      <c r="I36" t="s">
        <v>257</v>
      </c>
      <c r="J36" t="s">
        <v>82</v>
      </c>
      <c r="K36" t="s">
        <v>83</v>
      </c>
      <c r="L36" t="s">
        <v>84</v>
      </c>
      <c r="M36" t="s">
        <v>286</v>
      </c>
      <c r="N36" t="s">
        <v>301</v>
      </c>
      <c r="O36">
        <v>14</v>
      </c>
      <c r="P36" t="s">
        <v>104</v>
      </c>
      <c r="R36" t="s">
        <v>302</v>
      </c>
      <c r="S36">
        <v>0</v>
      </c>
      <c r="T36">
        <v>4683.51</v>
      </c>
      <c r="U36">
        <v>4683.51</v>
      </c>
      <c r="V36">
        <v>0</v>
      </c>
      <c r="W36">
        <v>0</v>
      </c>
      <c r="X36">
        <v>4683.51</v>
      </c>
      <c r="Y36">
        <v>0</v>
      </c>
      <c r="Z36">
        <v>0</v>
      </c>
      <c r="AA36">
        <v>0</v>
      </c>
      <c r="AB36">
        <v>0</v>
      </c>
      <c r="AC36">
        <v>0</v>
      </c>
      <c r="AE36" t="s">
        <v>303</v>
      </c>
      <c r="AF36" t="s">
        <v>304</v>
      </c>
      <c r="AG36" t="s">
        <v>305</v>
      </c>
      <c r="AL36"/>
      <c r="AM36" t="s">
        <v>95</v>
      </c>
      <c r="AN36" t="s">
        <v>184</v>
      </c>
      <c r="AO36" t="s">
        <v>95</v>
      </c>
      <c r="AW36" t="s">
        <v>306</v>
      </c>
      <c r="AX36" t="s">
        <v>263</v>
      </c>
      <c r="AY36">
        <v>2025</v>
      </c>
      <c r="AZ36">
        <v>0</v>
      </c>
      <c r="BA36" t="s">
        <v>307</v>
      </c>
      <c r="BB36">
        <v>4683.51</v>
      </c>
      <c r="BC36">
        <v>1</v>
      </c>
    </row>
    <row r="37" spans="1:55" x14ac:dyDescent="0.35">
      <c r="A37" t="s">
        <v>1</v>
      </c>
      <c r="B37" t="s">
        <v>74</v>
      </c>
      <c r="C37" t="s">
        <v>308</v>
      </c>
      <c r="D37" t="s">
        <v>27</v>
      </c>
      <c r="E37" t="s">
        <v>309</v>
      </c>
      <c r="G37" t="s">
        <v>310</v>
      </c>
      <c r="H37" t="s">
        <v>101</v>
      </c>
      <c r="I37" t="s">
        <v>102</v>
      </c>
      <c r="J37" t="s">
        <v>82</v>
      </c>
      <c r="K37" t="s">
        <v>83</v>
      </c>
      <c r="L37" t="s">
        <v>84</v>
      </c>
      <c r="M37" t="s">
        <v>311</v>
      </c>
      <c r="N37" t="s">
        <v>312</v>
      </c>
      <c r="O37">
        <v>11</v>
      </c>
      <c r="P37" t="s">
        <v>87</v>
      </c>
      <c r="Q37" t="s">
        <v>168</v>
      </c>
      <c r="R37" t="s">
        <v>195</v>
      </c>
      <c r="S37">
        <v>0</v>
      </c>
      <c r="T37">
        <v>3917.14</v>
      </c>
      <c r="U37">
        <v>3917.14</v>
      </c>
      <c r="V37">
        <v>0</v>
      </c>
      <c r="W37">
        <v>0</v>
      </c>
      <c r="X37">
        <v>3917.14</v>
      </c>
      <c r="Y37">
        <v>0</v>
      </c>
      <c r="Z37">
        <v>0</v>
      </c>
      <c r="AA37">
        <v>0</v>
      </c>
      <c r="AB37">
        <v>0</v>
      </c>
      <c r="AC37">
        <v>0</v>
      </c>
      <c r="AE37" t="s">
        <v>313</v>
      </c>
      <c r="AF37" t="s">
        <v>314</v>
      </c>
      <c r="AG37" t="s">
        <v>238</v>
      </c>
      <c r="AL37"/>
      <c r="AM37" t="s">
        <v>95</v>
      </c>
      <c r="AN37" t="s">
        <v>184</v>
      </c>
      <c r="AO37" t="s">
        <v>315</v>
      </c>
      <c r="AW37" t="s">
        <v>316</v>
      </c>
      <c r="AX37" t="s">
        <v>117</v>
      </c>
      <c r="AY37">
        <v>2025</v>
      </c>
      <c r="AZ37">
        <v>0</v>
      </c>
      <c r="BA37" t="s">
        <v>317</v>
      </c>
      <c r="BB37">
        <v>3917.14</v>
      </c>
      <c r="BC37">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C5"/>
  <sheetViews>
    <sheetView workbookViewId="0">
      <selection activeCell="A2" sqref="A2"/>
    </sheetView>
  </sheetViews>
  <sheetFormatPr defaultColWidth="8.81640625" defaultRowHeight="14.5" x14ac:dyDescent="0.35"/>
  <cols>
    <col min="1" max="1" width="20.26953125" style="12" bestFit="1" customWidth="1"/>
    <col min="2" max="2" width="22" style="12" bestFit="1" customWidth="1"/>
    <col min="3" max="3" width="16.453125" style="12" bestFit="1" customWidth="1"/>
    <col min="4" max="4" width="11.7265625" style="12" bestFit="1" customWidth="1"/>
    <col min="5" max="5" width="17.26953125" style="12" bestFit="1" customWidth="1"/>
    <col min="6" max="6" width="28.1796875" style="12" bestFit="1" customWidth="1"/>
    <col min="7" max="7" width="16.453125" style="12" bestFit="1" customWidth="1"/>
    <col min="8" max="8" width="16" style="12" bestFit="1" customWidth="1"/>
    <col min="9" max="9" width="16.54296875" style="12" bestFit="1" customWidth="1"/>
    <col min="10" max="10" width="13.54296875" style="12" bestFit="1" customWidth="1"/>
    <col min="11" max="11" width="22.26953125" style="12" bestFit="1" customWidth="1"/>
    <col min="12" max="12" width="23.26953125" style="12" bestFit="1" customWidth="1"/>
    <col min="13" max="13" width="12.1796875" style="12" bestFit="1" customWidth="1"/>
    <col min="14" max="14" width="16.453125" style="12" bestFit="1" customWidth="1"/>
    <col min="15" max="15" width="11.1796875" style="12" bestFit="1" customWidth="1"/>
    <col min="16" max="16" width="14.7265625" style="12" bestFit="1" customWidth="1"/>
    <col min="17" max="17" width="20.453125" style="12" bestFit="1" customWidth="1"/>
    <col min="18" max="18" width="11.81640625" style="12" bestFit="1" customWidth="1"/>
    <col min="19" max="19" width="27.1796875" style="12" bestFit="1" customWidth="1"/>
    <col min="20" max="20" width="48.54296875" style="12" bestFit="1" customWidth="1"/>
    <col min="21" max="21" width="19.7265625" style="12" bestFit="1" customWidth="1"/>
    <col min="22" max="22" width="15.7265625" style="12" bestFit="1" customWidth="1"/>
    <col min="23" max="23" width="12" style="12" bestFit="1" customWidth="1"/>
    <col min="24" max="24" width="22.26953125" style="12" bestFit="1" customWidth="1"/>
    <col min="25" max="25" width="19.1796875" style="12" bestFit="1" customWidth="1"/>
    <col min="26" max="26" width="17.54296875" style="12" bestFit="1" customWidth="1"/>
    <col min="27" max="27" width="16.453125" style="12" bestFit="1" customWidth="1"/>
    <col min="28" max="28" width="22.453125" style="12" bestFit="1" customWidth="1"/>
    <col min="29" max="29" width="20.1796875" style="12" bestFit="1" customWidth="1"/>
    <col min="30" max="30" width="18" style="12" bestFit="1" customWidth="1"/>
    <col min="31" max="31" width="16.26953125" style="12" bestFit="1" customWidth="1"/>
    <col min="32" max="33" width="21" style="12" bestFit="1" customWidth="1"/>
    <col min="34" max="34" width="10.26953125" style="12" bestFit="1" customWidth="1"/>
    <col min="35" max="35" width="15.453125" style="12" bestFit="1" customWidth="1"/>
    <col min="36" max="36" width="26.81640625" style="12" bestFit="1" customWidth="1"/>
    <col min="37" max="37" width="28.453125" style="12" bestFit="1" customWidth="1"/>
    <col min="38" max="38" width="29.26953125" style="12" bestFit="1" customWidth="1"/>
    <col min="39" max="39" width="13.54296875" style="12" bestFit="1" customWidth="1"/>
    <col min="40" max="40" width="23.453125" style="12" bestFit="1" customWidth="1"/>
    <col min="41" max="41" width="16.26953125" style="12" bestFit="1" customWidth="1"/>
    <col min="42" max="42" width="21" style="12" bestFit="1" customWidth="1"/>
    <col min="43" max="43" width="14.453125" style="12" bestFit="1" customWidth="1"/>
    <col min="44" max="44" width="22.7265625" style="12" bestFit="1" customWidth="1"/>
    <col min="45" max="45" width="16.1796875" style="12" bestFit="1" customWidth="1"/>
    <col min="46" max="46" width="20.453125" style="12" bestFit="1" customWidth="1"/>
    <col min="47" max="47" width="22.7265625" style="12" bestFit="1" customWidth="1"/>
    <col min="48" max="48" width="22.81640625" style="12" bestFit="1" customWidth="1"/>
    <col min="49" max="49" width="10.81640625" style="12" bestFit="1" customWidth="1"/>
    <col min="50" max="50" width="23" style="12" bestFit="1" customWidth="1"/>
    <col min="51" max="51" width="8.7265625" style="12" bestFit="1" customWidth="1"/>
    <col min="52" max="52" width="13.1796875" style="12" bestFit="1" customWidth="1"/>
    <col min="53" max="53" width="19.1796875" style="12" bestFit="1" customWidth="1"/>
    <col min="54" max="54" width="24" style="12" bestFit="1" customWidth="1"/>
    <col min="55" max="55" width="15.81640625" style="12" bestFit="1" customWidth="1"/>
    <col min="56" max="56" width="23" style="12" bestFit="1" customWidth="1"/>
    <col min="57" max="57" width="8.81640625" style="12" customWidth="1"/>
    <col min="58" max="16384" width="8.81640625" style="12"/>
  </cols>
  <sheetData>
    <row r="1" spans="1:55" x14ac:dyDescent="0.35">
      <c r="A1" t="s">
        <v>32</v>
      </c>
      <c r="B1" t="s">
        <v>33</v>
      </c>
      <c r="C1" t="s">
        <v>17</v>
      </c>
      <c r="D1" t="s">
        <v>18</v>
      </c>
      <c r="E1" t="s">
        <v>19</v>
      </c>
      <c r="F1" t="s">
        <v>16</v>
      </c>
      <c r="G1" t="s">
        <v>34</v>
      </c>
      <c r="H1" t="s">
        <v>8</v>
      </c>
      <c r="I1" t="s">
        <v>35</v>
      </c>
      <c r="J1" t="s">
        <v>36</v>
      </c>
      <c r="K1" t="s">
        <v>15</v>
      </c>
      <c r="L1" t="s">
        <v>37</v>
      </c>
      <c r="M1" t="s">
        <v>38</v>
      </c>
      <c r="N1" t="s">
        <v>39</v>
      </c>
      <c r="O1" t="s">
        <v>40</v>
      </c>
      <c r="P1" t="s">
        <v>10</v>
      </c>
      <c r="Q1" t="s">
        <v>41</v>
      </c>
      <c r="R1" t="s">
        <v>42</v>
      </c>
      <c r="S1" t="s">
        <v>20</v>
      </c>
      <c r="T1" t="s">
        <v>21</v>
      </c>
      <c r="U1" t="s">
        <v>54</v>
      </c>
      <c r="V1" t="s">
        <v>55</v>
      </c>
      <c r="W1" t="s">
        <v>56</v>
      </c>
      <c r="X1" t="s">
        <v>57</v>
      </c>
      <c r="Y1" t="s">
        <v>58</v>
      </c>
      <c r="Z1" t="s">
        <v>59</v>
      </c>
      <c r="AA1" t="s">
        <v>60</v>
      </c>
      <c r="AB1" t="s">
        <v>61</v>
      </c>
      <c r="AC1" t="s">
        <v>62</v>
      </c>
      <c r="AD1" t="s">
        <v>63</v>
      </c>
      <c r="AE1" t="s">
        <v>64</v>
      </c>
      <c r="AF1" t="s">
        <v>65</v>
      </c>
      <c r="AG1" t="s">
        <v>66</v>
      </c>
      <c r="AH1" t="s">
        <v>67</v>
      </c>
      <c r="AI1" t="s">
        <v>68</v>
      </c>
      <c r="AJ1" t="s">
        <v>69</v>
      </c>
      <c r="AK1" t="s">
        <v>70</v>
      </c>
      <c r="AL1" t="s">
        <v>14</v>
      </c>
      <c r="AM1" t="s">
        <v>13</v>
      </c>
      <c r="AN1" t="s">
        <v>71</v>
      </c>
      <c r="AO1" t="s">
        <v>73</v>
      </c>
    </row>
    <row r="2" spans="1:55" x14ac:dyDescent="0.35">
      <c r="A2" t="s">
        <v>1</v>
      </c>
      <c r="B2" t="s">
        <v>74</v>
      </c>
      <c r="C2" t="s">
        <v>318</v>
      </c>
      <c r="D2" t="s">
        <v>27</v>
      </c>
      <c r="E2" t="s">
        <v>319</v>
      </c>
      <c r="F2" t="s">
        <v>121</v>
      </c>
      <c r="G2" t="s">
        <v>100</v>
      </c>
      <c r="H2" t="s">
        <v>80</v>
      </c>
      <c r="I2" t="s">
        <v>81</v>
      </c>
      <c r="J2" t="s">
        <v>82</v>
      </c>
      <c r="K2" s="10" t="s">
        <v>83</v>
      </c>
      <c r="L2" s="10" t="s">
        <v>84</v>
      </c>
      <c r="M2" s="10" t="s">
        <v>320</v>
      </c>
      <c r="N2" s="10" t="s">
        <v>321</v>
      </c>
      <c r="O2">
        <v>1</v>
      </c>
      <c r="P2" t="s">
        <v>104</v>
      </c>
      <c r="Q2" s="10"/>
      <c r="R2" t="s">
        <v>131</v>
      </c>
      <c r="S2" t="s">
        <v>90</v>
      </c>
      <c r="T2" t="s">
        <v>322</v>
      </c>
      <c r="U2" t="s">
        <v>323</v>
      </c>
      <c r="Z2"/>
      <c r="AA2" t="s">
        <v>125</v>
      </c>
      <c r="AB2" t="s">
        <v>126</v>
      </c>
      <c r="AC2" t="s">
        <v>95</v>
      </c>
      <c r="AK2" t="s">
        <v>324</v>
      </c>
      <c r="AL2" t="s">
        <v>97</v>
      </c>
      <c r="AM2">
        <v>2025</v>
      </c>
      <c r="AN2" t="s">
        <v>325</v>
      </c>
      <c r="AO2">
        <v>1</v>
      </c>
      <c r="BC2" s="9"/>
    </row>
    <row r="3" spans="1:55" x14ac:dyDescent="0.35">
      <c r="A3" t="s">
        <v>1</v>
      </c>
      <c r="B3" t="s">
        <v>74</v>
      </c>
      <c r="C3" t="s">
        <v>326</v>
      </c>
      <c r="D3" t="s">
        <v>27</v>
      </c>
      <c r="E3" t="s">
        <v>327</v>
      </c>
      <c r="F3" t="s">
        <v>78</v>
      </c>
      <c r="G3" t="s">
        <v>328</v>
      </c>
      <c r="H3" t="s">
        <v>256</v>
      </c>
      <c r="I3" t="s">
        <v>257</v>
      </c>
      <c r="J3" t="s">
        <v>82</v>
      </c>
      <c r="K3" t="s">
        <v>83</v>
      </c>
      <c r="L3" t="s">
        <v>84</v>
      </c>
      <c r="M3" t="s">
        <v>329</v>
      </c>
      <c r="N3" t="s">
        <v>330</v>
      </c>
      <c r="O3">
        <v>10</v>
      </c>
      <c r="P3" t="s">
        <v>87</v>
      </c>
      <c r="Q3" t="s">
        <v>258</v>
      </c>
      <c r="R3" t="s">
        <v>259</v>
      </c>
      <c r="S3" t="s">
        <v>189</v>
      </c>
      <c r="T3" t="s">
        <v>331</v>
      </c>
      <c r="U3" t="s">
        <v>190</v>
      </c>
      <c r="Z3"/>
      <c r="AA3" t="s">
        <v>95</v>
      </c>
      <c r="AB3" t="s">
        <v>174</v>
      </c>
      <c r="AC3" t="s">
        <v>95</v>
      </c>
      <c r="AK3" t="s">
        <v>262</v>
      </c>
      <c r="AL3" t="s">
        <v>263</v>
      </c>
      <c r="AM3">
        <v>2025</v>
      </c>
      <c r="AN3" t="s">
        <v>332</v>
      </c>
      <c r="AO3">
        <v>1</v>
      </c>
    </row>
    <row r="4" spans="1:55" x14ac:dyDescent="0.35">
      <c r="A4" t="s">
        <v>1</v>
      </c>
      <c r="B4" t="s">
        <v>74</v>
      </c>
      <c r="C4" t="s">
        <v>318</v>
      </c>
      <c r="D4" t="s">
        <v>76</v>
      </c>
      <c r="E4" t="s">
        <v>319</v>
      </c>
      <c r="F4" t="s">
        <v>121</v>
      </c>
      <c r="G4" t="s">
        <v>100</v>
      </c>
      <c r="H4" t="s">
        <v>80</v>
      </c>
      <c r="I4" t="s">
        <v>81</v>
      </c>
      <c r="J4" t="s">
        <v>82</v>
      </c>
      <c r="K4" t="s">
        <v>83</v>
      </c>
      <c r="L4" t="s">
        <v>84</v>
      </c>
      <c r="M4" t="s">
        <v>320</v>
      </c>
      <c r="N4" t="s">
        <v>321</v>
      </c>
      <c r="O4">
        <v>1</v>
      </c>
      <c r="P4" t="s">
        <v>104</v>
      </c>
      <c r="R4" t="s">
        <v>89</v>
      </c>
      <c r="S4" t="s">
        <v>90</v>
      </c>
      <c r="T4" t="s">
        <v>322</v>
      </c>
      <c r="U4" t="s">
        <v>323</v>
      </c>
      <c r="Z4"/>
      <c r="AA4" t="s">
        <v>125</v>
      </c>
      <c r="AB4" t="s">
        <v>126</v>
      </c>
      <c r="AC4" t="s">
        <v>95</v>
      </c>
      <c r="AK4" t="s">
        <v>324</v>
      </c>
      <c r="AL4" t="s">
        <v>97</v>
      </c>
      <c r="AM4">
        <v>2025</v>
      </c>
      <c r="AN4" t="s">
        <v>333</v>
      </c>
      <c r="AO4">
        <v>0</v>
      </c>
    </row>
    <row r="5" spans="1:55" x14ac:dyDescent="0.35">
      <c r="A5" t="s">
        <v>1</v>
      </c>
      <c r="B5" t="s">
        <v>74</v>
      </c>
      <c r="C5" t="s">
        <v>326</v>
      </c>
      <c r="D5" t="s">
        <v>76</v>
      </c>
      <c r="E5" t="s">
        <v>327</v>
      </c>
      <c r="F5" t="s">
        <v>78</v>
      </c>
      <c r="G5" t="s">
        <v>328</v>
      </c>
      <c r="H5" t="s">
        <v>256</v>
      </c>
      <c r="I5" t="s">
        <v>257</v>
      </c>
      <c r="J5" t="s">
        <v>82</v>
      </c>
      <c r="K5" t="s">
        <v>83</v>
      </c>
      <c r="L5" t="s">
        <v>84</v>
      </c>
      <c r="M5" t="s">
        <v>329</v>
      </c>
      <c r="N5" t="s">
        <v>330</v>
      </c>
      <c r="O5">
        <v>10</v>
      </c>
      <c r="P5" t="s">
        <v>87</v>
      </c>
      <c r="Q5" t="s">
        <v>258</v>
      </c>
      <c r="R5" t="s">
        <v>259</v>
      </c>
      <c r="S5" t="s">
        <v>189</v>
      </c>
      <c r="T5" t="s">
        <v>331</v>
      </c>
      <c r="U5" t="s">
        <v>190</v>
      </c>
      <c r="Z5"/>
      <c r="AA5" t="s">
        <v>95</v>
      </c>
      <c r="AB5" t="s">
        <v>174</v>
      </c>
      <c r="AC5" t="s">
        <v>95</v>
      </c>
      <c r="AK5" t="s">
        <v>262</v>
      </c>
      <c r="AL5" t="s">
        <v>263</v>
      </c>
      <c r="AM5">
        <v>2025</v>
      </c>
      <c r="AN5" t="s">
        <v>334</v>
      </c>
      <c r="AO5">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Page</vt:lpstr>
      <vt:lpstr>Summary By Policy Year</vt:lpstr>
      <vt:lpstr>Chart</vt:lpstr>
      <vt:lpstr>Claims Data</vt:lpstr>
      <vt:lpstr>Record 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KARDOES, RYAN M</dc:creator>
  <cp:lastModifiedBy>BHANDARI, SHUBHAM</cp:lastModifiedBy>
  <dcterms:created xsi:type="dcterms:W3CDTF">2026-04-07T10:58:36Z</dcterms:created>
  <dcterms:modified xsi:type="dcterms:W3CDTF">2026-07-22T08:51:23Z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c0986b3-3385-442f-b788-cbe40ae57075_Removed">
    <vt:lpwstr>False</vt:lpwstr>
  </property>
  <property fmtid="{D5CDD505-2E9C-101B-9397-08002B2CF9AE}" pid="3" name="MSIP_Label_4c0986b3-3385-442f-b788-cbe40ae57075_ActionId">
    <vt:lpwstr>7f0d1462-04ac-44ad-b0e4-8590be4dc0ef</vt:lpwstr>
  </property>
  <property fmtid="{D5CDD505-2E9C-101B-9397-08002B2CF9AE}" pid="4" name="MSIP_Label_4c0986b3-3385-442f-b788-cbe40ae57075_Name">
    <vt:lpwstr>Restricted</vt:lpwstr>
  </property>
  <property fmtid="{D5CDD505-2E9C-101B-9397-08002B2CF9AE}" pid="5" name="MSIP_Label_4c0986b3-3385-442f-b788-cbe40ae57075_SetDate">
    <vt:lpwstr>2026-04-07T12:19:45Z</vt:lpwstr>
  </property>
  <property fmtid="{D5CDD505-2E9C-101B-9397-08002B2CF9AE}" pid="6" name="MSIP_Label_4c0986b3-3385-442f-b788-cbe40ae57075_SiteId">
    <vt:lpwstr>3ea62a99-e446-48ea-b404-0ac8d9c9b14a</vt:lpwstr>
  </property>
  <property fmtid="{D5CDD505-2E9C-101B-9397-08002B2CF9AE}" pid="7" name="MSIP_Label_4c0986b3-3385-442f-b788-cbe40ae57075_Enabled">
    <vt:lpwstr>True</vt:lpwstr>
  </property>
  <property fmtid="{D5CDD505-2E9C-101B-9397-08002B2CF9AE}" pid="8" name="MSIP_Label_4c0986b3-3385-442f-b788-cbe40ae57075_Extended_MSFT_Method">
    <vt:lpwstr>Standard</vt:lpwstr>
  </property>
  <property fmtid="{D5CDD505-2E9C-101B-9397-08002B2CF9AE}" pid="9" name="Sensitivity">
    <vt:lpwstr>Restricted</vt:lpwstr>
  </property>
</Properties>
</file>