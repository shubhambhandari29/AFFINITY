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drawings/drawing2.xml" ContentType="application/vnd.openxmlformats-officedocument.drawing+xml"/>
  <Override PartName="/xl/pivotTables/pivotTable2.xml" ContentType="application/vnd.openxmlformats-officedocument.spreadsheetml.pivotTable+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 windowWidth="38700" windowHeight="15225" tabRatio="600" firstSheet="0" activeTab="0" autoFilterDateGrouping="1"/>
  </bookViews>
  <sheets>
    <sheet name="Cover Page" sheetId="1" state="visible" r:id="rId1"/>
    <sheet name="Summary By Policy Year" sheetId="2" state="visible" r:id="rId2"/>
    <sheet name="Chart" sheetId="3" state="visible" r:id="rId3"/>
    <sheet name="Claims Data" sheetId="4" state="visible" r:id="rId4"/>
    <sheet name="Record Only" sheetId="5" state="visible" r:id="rId5"/>
    <sheet name="Summary Source" sheetId="6" state="hidden" r:id="rId6"/>
  </sheets>
  <definedNames/>
  <calcPr calcId="191029" fullCalcOnLoad="1"/>
  <pivotCaches>
    <pivotCache cacheId="17" r:id="rId7"/>
  </pivotCaches>
</workbook>
</file>

<file path=xl/styles.xml><?xml version="1.0" encoding="utf-8"?>
<s:styleSheet xmlns:s="http://schemas.openxmlformats.org/spreadsheetml/2006/main">
  <s:numFmts count="3">
    <s:numFmt numFmtId="164" formatCode="[$-409]d\-mmm\-yy;@"/>
    <s:numFmt numFmtId="165" formatCode="yyyy\-mm\-dd"/>
    <s:numFmt numFmtId="166" formatCode="&quot;$&quot;#,##0.00"/>
  </s:numFmts>
  <s:fonts count="5">
    <s:font>
      <s:sz val="11"/>
      <s:color theme="1"/>
      <s:name val="Aptos Narrow"/>
      <s:family val="2"/>
      <s:scheme val="minor"/>
    </s:font>
    <s:font>
      <s:sz val="11"/>
      <s:color theme="1"/>
      <s:name val="Aptos Narrow"/>
      <s:family val="2"/>
      <s:scheme val="minor"/>
    </s:font>
    <s:font>
      <s:b val="1"/>
      <s:sz val="11"/>
      <s:color theme="1"/>
      <s:name val="Aptos Narrow"/>
      <s:family val="2"/>
      <s:scheme val="minor"/>
    </s:font>
    <s:font>
      <s:b val="1"/>
      <s:sz val="11"/>
      <s:color indexed="8"/>
      <s:name val="Calibri"/>
      <s:family val="2"/>
    </s:font>
    <s:font>
      <s:sz val="10"/>
      <s:color indexed="8"/>
      <s:name val="Verdana"/>
      <s:family val="2"/>
    </s:font>
  </s:fonts>
  <s:fills count="3">
    <s:fill>
      <s:patternFill/>
    </s:fill>
    <s:fill>
      <s:patternFill patternType="gray125"/>
    </s:fill>
    <s:fill>
      <s:patternFill patternType="solid">
        <s:fgColor theme="2" tint="-0.09997863704336681"/>
        <s:bgColor indexed="64"/>
      </s:patternFill>
    </s:fill>
  </s:fills>
  <s:borders count="14">
    <s:border>
      <s:left/>
      <s:right/>
      <s:top/>
      <s:bottom/>
      <s:diagonal/>
    </s:border>
    <s:border>
      <s:left style="thin">
        <s:color indexed="64"/>
      </s:left>
      <s:right style="thin">
        <s:color indexed="64"/>
      </s:right>
      <s:top style="thin">
        <s:color indexed="64"/>
      </s:top>
      <s:bottom style="thin">
        <s:color indexed="64"/>
      </s:bottom>
      <s:diagonal/>
    </s:border>
    <s:border>
      <s:left style="thin">
        <s:color indexed="8"/>
      </s:left>
      <s:right style="thin">
        <s:color indexed="8"/>
      </s:right>
      <s:top style="thin">
        <s:color indexed="8"/>
      </s:top>
      <s:bottom style="thin">
        <s:color indexed="8"/>
      </s:bottom>
      <s:diagonal/>
    </s:border>
    <s:border>
      <s:left/>
      <s:right style="thin">
        <s:color indexed="8"/>
      </s:right>
      <s:top style="thin">
        <s:color indexed="8"/>
      </s:top>
      <s:bottom style="thin">
        <s:color indexed="8"/>
      </s:bottom>
      <s:diagonal/>
    </s:border>
    <s:border>
      <s:left style="thin">
        <s:color rgb="FF999999"/>
      </s:left>
      <s:right/>
      <s:top style="thin">
        <s:color rgb="FF999999"/>
      </s:top>
      <s:bottom/>
      <s:diagonal/>
    </s:border>
    <s:border>
      <s:left/>
      <s:right/>
      <s:top style="thin">
        <s:color rgb="FF999999"/>
      </s:top>
      <s:bottom/>
      <s:diagonal/>
    </s:border>
    <s:border>
      <s:left/>
      <s:right style="thin">
        <s:color rgb="FF999999"/>
      </s:right>
      <s:top style="thin">
        <s:color rgb="FF999999"/>
      </s:top>
      <s:bottom/>
      <s:diagonal/>
    </s:border>
    <s:border>
      <s:left style="thin">
        <s:color rgb="FF999999"/>
      </s:left>
      <s:right/>
      <s:top style="thin">
        <s:color rgb="FF999999"/>
      </s:top>
      <s:bottom style="thin">
        <s:color rgb="FF999999"/>
      </s:bottom>
      <s:diagonal/>
    </s:border>
    <s:border>
      <s:left style="thin">
        <s:color indexed="65"/>
      </s:left>
      <s:right/>
      <s:top style="thin">
        <s:color rgb="FF999999"/>
      </s:top>
      <s:bottom style="thin">
        <s:color rgb="FF999999"/>
      </s:bottom>
      <s:diagonal/>
    </s:border>
    <s:border>
      <s:left/>
      <s:right/>
      <s:top style="thin">
        <s:color rgb="FF999999"/>
      </s:top>
      <s:bottom style="thin">
        <s:color rgb="FF999999"/>
      </s:bottom>
      <s:diagonal/>
    </s:border>
    <s:border>
      <s:left/>
      <s:right style="thin">
        <s:color rgb="FF999999"/>
      </s:right>
      <s:top style="thin">
        <s:color rgb="FF999999"/>
      </s:top>
      <s:bottom style="thin">
        <s:color rgb="FF999999"/>
      </s:bottom>
      <s:diagonal/>
    </s:border>
    <s:border>
      <s:left style="thin">
        <s:color rgb="FF999999"/>
      </s:left>
      <s:right style="thin">
        <s:color rgb="FF999999"/>
      </s:right>
      <s:top style="thin">
        <s:color rgb="FF999999"/>
      </s:top>
      <s:bottom style="thin">
        <s:color rgb="FF999999"/>
      </s:bottom>
      <s:diagonal/>
    </s:border>
    <s:border>
      <s:left/>
      <s:right/>
      <s:top style="thin">
        <s:color indexed="8"/>
      </s:top>
      <s:bottom/>
      <s:diagonal/>
    </s:border>
    <s:border>
      <s:left/>
      <s:right style="thin">
        <s:color indexed="8"/>
      </s:right>
      <s:top style="thin">
        <s:color indexed="8"/>
      </s:top>
      <s:bottom/>
      <s:diagonal/>
    </s:border>
  </s:borders>
  <s:cellStyleXfs count="2">
    <s:xf numFmtId="0" fontId="1" fillId="0" borderId="0"/>
    <s:xf numFmtId="44" fontId="1" fillId="0" borderId="0"/>
  </s:cellStyleXfs>
  <s:cellXfs count="35">
    <s:xf numFmtId="0" fontId="0" fillId="0" borderId="0" pivotButton="0" quotePrefix="0" xfId="0"/>
    <s:xf numFmtId="0" fontId="3" fillId="0" borderId="1" applyAlignment="1" pivotButton="0" quotePrefix="0" xfId="0">
      <s:alignment horizontal="left" vertical="center"/>
    </s:xf>
    <s:xf numFmtId="49" fontId="3" fillId="0" borderId="1" applyAlignment="1" pivotButton="0" quotePrefix="0" xfId="0">
      <s:alignment vertical="center"/>
    </s:xf>
    <s:xf numFmtId="22" fontId="0" fillId="0" borderId="0" pivotButton="0" quotePrefix="0" xfId="0"/>
    <s:xf numFmtId="164" fontId="4" fillId="0" borderId="0" pivotButton="0" quotePrefix="0" xfId="0"/>
    <s:xf numFmtId="165" fontId="0" fillId="0" borderId="0" pivotButton="0" quotePrefix="0" xfId="0"/>
    <s:xf numFmtId="166" fontId="0" fillId="0" borderId="0" pivotButton="0" quotePrefix="0" xfId="0"/>
    <s:xf numFmtId="0" fontId="0" fillId="0" borderId="4" pivotButton="0" quotePrefix="0" xfId="0"/>
    <s:xf numFmtId="14" fontId="0" fillId="0" borderId="4" pivotButton="0" quotePrefix="0" xfId="0"/>
    <s:xf numFmtId="166" fontId="0" fillId="0" borderId="4" pivotButton="0" quotePrefix="0" xfId="0"/>
    <s:xf numFmtId="166" fontId="0" fillId="0" borderId="5" pivotButton="0" quotePrefix="0" xfId="0"/>
    <s:xf numFmtId="166" fontId="0" fillId="0" borderId="6" pivotButton="0" quotePrefix="0" xfId="0"/>
    <s:xf numFmtId="0" fontId="0" fillId="0" borderId="7" pivotButton="0" quotePrefix="0" xfId="0"/>
    <s:xf numFmtId="0" fontId="0" fillId="0" borderId="8" pivotButton="0" quotePrefix="0" xfId="0"/>
    <s:xf numFmtId="166" fontId="0" fillId="0" borderId="7" pivotButton="0" quotePrefix="0" xfId="0"/>
    <s:xf numFmtId="166" fontId="0" fillId="0" borderId="9" pivotButton="0" quotePrefix="0" xfId="0"/>
    <s:xf numFmtId="166" fontId="0" fillId="0" borderId="10" pivotButton="0" quotePrefix="0" xfId="0"/>
    <s:xf numFmtId="0" fontId="0" fillId="0" borderId="11" pivotButton="1" quotePrefix="0" xfId="0"/>
    <s:xf numFmtId="0" fontId="0" fillId="0" borderId="11" pivotButton="0" quotePrefix="0" xfId="0"/>
    <s:xf numFmtId="0" fontId="2" fillId="2" borderId="4" pivotButton="0" quotePrefix="0" xfId="0"/>
    <s:xf numFmtId="14" fontId="3" fillId="0" borderId="1" applyAlignment="1" pivotButton="0" quotePrefix="0" xfId="0">
      <s:alignment horizontal="left" vertical="center"/>
    </s:xf>
    <s:xf numFmtId="0" fontId="0" fillId="0" borderId="0" pivotButton="0" quotePrefix="0" xfId="0"/>
    <s:xf numFmtId="0" fontId="0" fillId="0" borderId="0" pivotButton="1" quotePrefix="0" xfId="0"/>
    <s:xf numFmtId="0" fontId="0" fillId="0" borderId="0" pivotButton="0" quotePrefix="0" xfId="1"/>
    <s:xf numFmtId="14" fontId="0" fillId="0" borderId="0" pivotButton="0" quotePrefix="0" xfId="0"/>
    <s:xf numFmtId="0" fontId="2" fillId="2" borderId="4" pivotButton="0" quotePrefix="0" xfId="0"/>
    <s:xf numFmtId="0" fontId="2" fillId="2" borderId="5" pivotButton="0" quotePrefix="0" xfId="0"/>
    <s:xf numFmtId="0" fontId="2" fillId="2" borderId="6" pivotButton="0" quotePrefix="0" xfId="0"/>
    <s:xf numFmtId="0" fontId="0" fillId="0" borderId="0" applyAlignment="1" pivotButton="0" quotePrefix="0" xfId="0">
      <s:alignment horizontal="left"/>
    </s:xf>
    <s:xf numFmtId="0" fontId="0" fillId="0" borderId="0" pivotButton="0" quotePrefix="0" xfId="0"/>
    <s:xf numFmtId="0" fontId="0" fillId="0" borderId="0" applyAlignment="1" pivotButton="0" quotePrefix="0" xfId="0">
      <s:alignment horizontal="left"/>
    </s:xf>
    <s:xf numFmtId="0" fontId="0" fillId="0" borderId="0" pivotButton="0" quotePrefix="0" xfId="0"/>
    <s:xf numFmtId="0" fontId="0" fillId="0" borderId="2" applyAlignment="1" pivotButton="0" quotePrefix="0" xfId="0">
      <s:alignment horizontal="left" vertical="center" wrapText="1"/>
    </s:xf>
    <s:xf numFmtId="0" fontId="0" fillId="0" borderId="3" pivotButton="0" quotePrefix="0" xfId="0"/>
    <s:xf numFmtId="0" fontId="0" fillId="0" borderId="11" applyAlignment="1" pivotButton="1" quotePrefix="0" xfId="0">
      <s:alignment wrapText="1"/>
    </s:xf>
  </s:cellXfs>
  <s:cellStyles count="2">
    <s:cellStyle name="Normal" xfId="0" builtinId="0"/>
    <s:cellStyle name="Currency" xfId="1" builtinId="4"/>
  </s:cellStyles>
  <s:dxfs count="161">
    <s:dxf>
      <s:font>
        <s:b val="1"/>
      </s:font>
      <s:fill>
        <s:patternFill patternType="solid">
          <s:fgColor indexed="64"/>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ont>
        <s:b val="1"/>
      </s:font>
    </s:dxf>
    <s:dxf>
      <s:font>
        <s:b val="1"/>
      </s:font>
    </s:dxf>
    <s:dxf>
      <s:font>
        <s:b val="1"/>
      </s:font>
    </s:dxf>
    <s:dxf>
      <s:font>
        <s:b val="1"/>
      </s:font>
    </s:dxf>
    <s:dxf>
      <s:font>
        <s:b val="1"/>
      </s:font>
    </s:dxf>
    <s:dxf>
      <s:font>
        <s:b val="1"/>
      </s:font>
    </s:dxf>
    <s:dxf>
      <s:font>
        <s:b val="1"/>
      </s:font>
    </s:dxf>
    <s:dxf>
      <s:font>
        <s:b val="1"/>
      </s:font>
    </s:dxf>
    <s:dxf>
      <s:font>
        <s:b val="1"/>
      </s:font>
    </s:dxf>
    <s:dxf>
      <s:font>
        <s:b val="1"/>
      </s:font>
      <s:fill>
        <s:patternFill patternType="solid">
          <s:fgColor indexed="64"/>
          <s:bgColor theme="2" tint="-0.09997863704336681"/>
        </s:patternFill>
      </s:fill>
    </s:dxf>
    <s:dxf>
      <s:font>
        <s:b val="1"/>
      </s:font>
      <s:fill>
        <s:patternFill patternType="solid">
          <s:fgColor indexed="64"/>
          <s:bgColor theme="2" tint="-0.09997863704336681"/>
        </s:patternFill>
      </s:fill>
    </s:dxf>
    <s:dxf>
      <s:alignment/>
    </s:dxf>
    <s:dxf>
      <s:font>
        <s:b val="1"/>
      </s:font>
      <s:fill>
        <s:patternFill patternType="solid">
          <s:fgColor indexed="64"/>
          <s:bgColor theme="2" tint="-0.09997863704336681"/>
        </s:patternFill>
      </s:fill>
    </s:dxf>
    <s:dxf>
      <s:numFmt numFmtId="0" formatCode="General"/>
    </s:dxf>
    <s:dxf>
      <s:font>
        <s:strike val="0"/>
        <s:condense val="0"/>
        <s:extend val="0"/>
        <s:outline val="0"/>
        <s:shadow val="0"/>
        <s:vertAlign val="baseline"/>
        <s:sz val="11"/>
        <s:color theme="1"/>
        <s:name val="Aptos Narrow"/>
        <s:family val="2"/>
        <s:scheme val="minor"/>
      </s:font>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19" formatCode="m/d/yyyy"/>
    </s:dxf>
    <s:dxf>
      <s:numFmt numFmtId="0" formatCode="General"/>
    </s:dxf>
    <s:dxf>
      <s:numFmt numFmtId="0" formatCode="General"/>
    </s:dxf>
    <s:dxf>
      <s:numFmt numFmtId="19" formatCode="m/d/yyyy"/>
    </s:dxf>
    <s:dxf>
      <s:numFmt numFmtId="19" formatCode="m/d/yyyy"/>
    </s:dxf>
    <s:dxf>
      <s:numFmt numFmtId="19" formatCode="m/d/yyyy"/>
    </s:dxf>
    <s:dxf>
      <s:numFmt numFmtId="19" formatCode="m/d/yyyy"/>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font>
        <s:strike val="0"/>
        <s:condense val="0"/>
        <s:extend val="0"/>
        <s:outline val="0"/>
        <s:shadow val="0"/>
        <s:vertAlign val="baseline"/>
        <s:sz val="11"/>
        <s:color theme="1"/>
        <s:name val="Aptos Narrow"/>
        <s:family val="2"/>
        <s:scheme val="minor"/>
      </s:font>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19" formatCode="m/d/yyyy"/>
    </s:dxf>
    <s:dxf>
      <s:numFmt numFmtId="0" formatCode="General"/>
    </s:dxf>
    <s:dxf>
      <s:numFmt numFmtId="0" formatCode="General"/>
    </s:dxf>
    <s:dxf>
      <s:numFmt numFmtId="19" formatCode="m/d/yyyy"/>
    </s:dxf>
    <s:dxf>
      <s:numFmt numFmtId="19" formatCode="m/d/yyyy"/>
    </s:dxf>
    <s:dxf>
      <s:numFmt numFmtId="19" formatCode="m/d/yyyy"/>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font>
        <s:b val="1"/>
      </s:font>
      <s:fill>
        <s:patternFill patternType="solid">
          <s:fgColor indexed="64"/>
          <s:bgColor theme="2" tint="-0.09997863704336681"/>
        </s:patternFill>
      </s:fill>
    </s:dxf>
    <s:dxf>
      <s:alignment/>
    </s:dxf>
    <s:dxf>
      <s:font>
        <s:b val="1"/>
      </s:font>
      <s:fill>
        <s:patternFill patternType="solid">
          <s:fgColor indexed="64"/>
          <s:bgColor theme="2" tint="-0.09997863704336681"/>
        </s:patternFill>
      </s:fill>
    </s:dxf>
    <s:dxf>
      <s:font>
        <s:b val="1"/>
      </s:font>
      <s:fill>
        <s:patternFill patternType="solid">
          <s:fgColor indexed="64"/>
          <s:bgColor theme="2" tint="-0.09997863704336681"/>
        </s:patternFill>
      </s:fill>
    </s:dxf>
    <s:dxf>
      <s:font>
        <s:b val="1"/>
      </s:font>
    </s:dxf>
    <s:dxf>
      <s:font>
        <s:b val="1"/>
      </s:font>
    </s:dxf>
    <s:dxf>
      <s:font>
        <s:b val="1"/>
      </s:font>
    </s:dxf>
    <s:dxf>
      <s:font>
        <s:b val="1"/>
      </s:font>
    </s:dxf>
    <s:dxf>
      <s:font>
        <s:b val="1"/>
      </s:font>
    </s:dxf>
    <s:dxf>
      <s:font>
        <s:b val="1"/>
      </s:font>
    </s:dxf>
    <s:dxf>
      <s:font>
        <s:b val="1"/>
      </s:font>
    </s:dxf>
    <s:dxf>
      <s:font>
        <s:b val="1"/>
      </s:font>
    </s:dxf>
    <s:dxf>
      <s:font>
        <s:b val="1"/>
      </s:font>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s>
  <s:tableStyles count="0" defaultTableStyle="TableStyleMedium2" defaultPivotStyle="PivotStyleLight16"/>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pivotCacheDefinition" Target="/xl/pivotCache/pivotCacheDefinition1.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Total Incurred by Policy Year</a:t>
            </a:r>
          </a:p>
        </rich>
      </tx>
    </title>
    <plotArea>
      <barChart>
        <barDir val="col"/>
        <grouping val="clustered"/>
        <ser>
          <idx val="0"/>
          <order val="0"/>
          <tx>
            <strRef>
              <f>'Chart'!C1</f>
            </strRef>
          </tx>
          <spPr>
            <a:ln>
              <a:prstDash val="solid"/>
            </a:ln>
          </spPr>
          <cat>
            <numRef>
              <f>'Chart'!$A$2:$A$5</f>
            </numRef>
          </cat>
          <val>
            <numRef>
              <f>'Chart'!$C$2:$C$5</f>
            </numRef>
          </val>
        </ser>
        <gapWidth val="150"/>
        <axId val="10"/>
        <axId val="100"/>
      </barChart>
      <catAx>
        <axId val="10"/>
        <scaling>
          <orientation val="minMax"/>
        </scaling>
        <axPos val="l"/>
        <title>
          <tx>
            <rich>
              <a:bodyPr/>
              <a:p>
                <a:pPr>
                  <a:defRPr/>
                </a:pPr>
                <a:r>
                  <a:t>Policy Year</a:t>
                </a:r>
              </a:p>
            </rich>
          </tx>
        </title>
        <majorTickMark val="none"/>
        <minorTickMark val="none"/>
        <crossAx val="100"/>
        <lblOffset val="100"/>
      </catAx>
      <valAx>
        <axId val="100"/>
        <scaling>
          <orientation val="minMax"/>
        </scaling>
        <axPos val="l"/>
        <majorGridlines/>
        <title>
          <tx>
            <rich>
              <a:bodyPr/>
              <a:p>
                <a:pPr>
                  <a:defRPr/>
                </a:pPr>
                <a:r>
                  <a:t>Total Incurred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2</col>
      <colOff>0</colOff>
      <row>0</row>
      <rowOff>1638300</rowOff>
    </to>
    <pic>
      <nvPicPr>
        <cNvPr id="1" name="Image 1" descr="Picture"/>
        <cNvPicPr/>
      </nvPicPr>
      <blipFill>
        <a:blip cstate="print" r:embed="rId1"/>
        <a:stretch>
          <a:fillRect/>
        </a:stretch>
      </blipFill>
      <spPr>
        <a:prstGeom prst="rect"/>
      </spPr>
    </pic>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OnLoad="0" enableRefresh="1" refreshedBy="KARDOES, RYAN M" refreshedDate="46196.41792025463" missingItemsLimit="0" createdVersion="8" refreshedVersion="8" minRefreshableVersion="3" recordCount="10" r:id="rId1">
  <cacheSource type="worksheet">
    <worksheetSource ref="A1:BD11" sheet="Summary Source"/>
  </cacheSource>
  <cacheFields count="56">
    <cacheField name="Customer Number" uniqueList="1" sqlType="0" hierarchy="0" level="0" databaseField="1">
      <sharedItems count="1" containsBlank="0" containsDate="0" containsInteger="0" containsMixedTypes="0" containsNonDate="1" containsNumber="0" containsSemiMixedTypes="1" containsString="1" longText="0">
        <s v="1521802738"/>
      </sharedItems>
    </cacheField>
    <cacheField name="Policy Insured Name" uniqueList="1" sqlType="0" hierarchy="0" level="0" databaseField="1">
      <sharedItems count="1" containsBlank="0" containsDate="0" containsInteger="0" containsMixedTypes="0" containsNonDate="1" containsNumber="0" containsSemiMixedTypes="1" containsString="1" longText="0">
        <s v="PITCO FOODS LLC"/>
      </sharedItems>
    </cacheField>
    <cacheField name="Claim Number" uniqueList="1" sqlType="0" hierarchy="0" level="0" databaseField="1">
      <sharedItems count="9" containsBlank="0" containsDate="0" containsInteger="0" containsMixedTypes="0" containsNonDate="1" containsNumber="0" containsSemiMixedTypes="1" containsString="1" longText="0">
        <s v="85-00711493"/>
        <s v="85-00545064"/>
        <s v="85-00386463"/>
        <s v="85-00021868"/>
        <s v="85-00527809"/>
        <s v="85-00294492"/>
        <s v="85-00199983"/>
        <s v="85-00192294"/>
        <s v="85-00804343"/>
      </sharedItems>
    </cacheField>
    <cacheField name="Exposure" uniqueList="1" sqlType="0" hierarchy="0" level="0" databaseField="1">
      <sharedItems count="2" containsBlank="0" containsDate="0" containsInteger="0" containsMixedTypes="0" containsNonDate="1" containsNumber="0" containsSemiMixedTypes="1" containsString="1" longText="0">
        <s v="01"/>
        <s v="02"/>
      </sharedItems>
    </cacheField>
    <cacheField name="Claimant Name" uniqueList="1" sqlType="0" hierarchy="0" level="0" databaseField="1">
      <sharedItems count="2" containsBlank="0" containsDate="0" containsInteger="0" containsMixedTypes="0" containsNonDate="1" containsNumber="0" containsSemiMixedTypes="1" containsString="1" longText="0">
        <s v="Hovey, Nancy"/>
        <s v="PITCO FOODS LLC,C/O WILLIAM MC"/>
      </sharedItems>
    </cacheField>
    <cacheField name="Account Location Identifier" uniqueList="1" sqlType="0" hierarchy="0" level="0" databaseField="1">
      <sharedItems count="5" containsBlank="0" containsDate="0" containsInteger="0" containsMixedTypes="0" containsNonDate="1" containsNumber="0" containsSemiMixedTypes="1" containsString="1" longText="0">
        <s v="1020 Riverside Dr, Franklin, TN"/>
        <s v="13736 Conlan Cir, Charlotte, NC"/>
        <s v="1501 South Blvd, Charlotte, NC"/>
        <s v="4910 Baum Blvd, Pittsburgh, PA"/>
        <s v="979 GreenTree Road, Pittsburgh, PA"/>
      </sharedItems>
    </cacheField>
    <cacheField name="Accident State" uniqueList="1" sqlType="0" hierarchy="0" level="0" databaseField="1">
      <sharedItems count="3" containsBlank="0" containsDate="0" containsInteger="0" containsMixedTypes="0" containsNonDate="1" containsNumber="0" containsSemiMixedTypes="1" containsString="1" longText="0">
        <s v="TN"/>
        <s v="NC"/>
        <s v="PA"/>
      </sharedItems>
    </cacheField>
    <cacheField name="Policy Symbol" uniqueList="1" sqlType="0" hierarchy="0" level="0" databaseField="1">
      <sharedItems count="1" containsBlank="0" containsDate="0" containsInteger="0" containsMixedTypes="0" containsNonDate="1" containsNumber="0" containsSemiMixedTypes="1" containsString="1" longText="0">
        <s v="ODS"/>
      </sharedItems>
    </cacheField>
    <cacheField name="Policy Number" uniqueList="1" sqlType="0" hierarchy="0" level="0" databaseField="1">
      <sharedItems count="1" containsBlank="0" containsDate="0" containsInteger="0" containsMixedTypes="0" containsNonDate="1" containsNumber="0" containsSemiMixedTypes="1" containsString="1" longText="0">
        <s v="H351942"/>
      </sharedItems>
    </cacheField>
    <cacheField name="Policy MOD" uniqueList="1" sqlType="0" hierarchy="0" level="0" databaseField="1">
      <sharedItems count="4" containsBlank="0" containsDate="0" containsInteger="0" containsMixedTypes="0" containsNonDate="1" containsNumber="0" containsSemiMixedTypes="1" containsString="1" longText="0">
        <s v="04"/>
        <s v="03"/>
        <s v="02"/>
        <s v="01"/>
      </sharedItems>
    </cacheField>
    <cacheField name="Policy Effective Date" uniqueList="1" sqlType="0" hierarchy="0" level="0" databaseField="1">
      <sharedItems count="4" containsBlank="0" containsDate="0" containsInteger="0" containsMixedTypes="0" containsNonDate="1" containsNumber="0" containsSemiMixedTypes="1" containsString="1" longText="0">
        <s v="08/16/2024"/>
        <s v="08/16/2023"/>
        <s v="08/16/2022"/>
        <s v="08/16/2021"/>
      </sharedItems>
    </cacheField>
    <cacheField name="Policy Expiration Date" uniqueList="1" sqlType="0" hierarchy="0" level="0" databaseField="1">
      <sharedItems count="4" containsBlank="0" containsDate="0" containsInteger="0" containsMixedTypes="0" containsNonDate="1" containsNumber="0" containsSemiMixedTypes="1" containsString="1" longText="0">
        <s v="08/16/2025"/>
        <s v="08/16/2024"/>
        <s v="08/16/2023"/>
        <s v="08/16/2022"/>
      </sharedItems>
    </cacheField>
    <cacheField name="Loss Date" uniqueList="1" sqlType="0" hierarchy="0" level="0" databaseField="1">
      <sharedItems count="9" containsBlank="0" containsDate="0" containsInteger="0" containsMixedTypes="0" containsNonDate="1" containsNumber="0" containsSemiMixedTypes="1" containsString="1" longText="0">
        <s v="11/08/2024"/>
        <s v="01/14/2024"/>
        <s v="05/27/2023"/>
        <s v="10/26/2021"/>
        <s v="11/23/2023"/>
        <s v="12/25/2022"/>
        <s v="08/02/2022"/>
        <s v="07/23/2022"/>
        <s v="06/16/2025"/>
      </sharedItems>
    </cacheField>
    <cacheField name="Date of Notice" uniqueList="1" sqlType="0" hierarchy="0" level="0" databaseField="1">
      <sharedItems count="9" containsBlank="0" containsDate="0" containsInteger="0" containsMixedTypes="0" containsNonDate="1" containsNumber="0" containsSemiMixedTypes="1" containsString="1" longText="0">
        <s v="12/10/2024"/>
        <s v="02/02/2024"/>
        <s v="05/30/2023"/>
        <s v="10/26/2021"/>
        <s v="01/05/2024"/>
        <s v="01/04/2023"/>
        <s v="08/09/2022"/>
        <s v="07/28/2022"/>
        <s v="06/24/2025"/>
      </sharedItems>
    </cacheField>
    <cacheField name="Lag Time" uniqueList="1" sqlType="0" hierarchy="0" level="0" databaseField="1">
      <sharedItems count="9" containsBlank="0" containsDate="0" containsInteger="1" containsMixedTypes="0" containsNonDate="1" containsNumber="1" containsSemiMixedTypes="0" containsString="0" longText="0">
        <n v="32"/>
        <n v="19"/>
        <n v="3"/>
        <n v="0"/>
        <n v="43"/>
        <n v="10"/>
        <n v="7"/>
        <n v="5"/>
        <n v="8"/>
      </sharedItems>
    </cacheField>
    <cacheField name="Claim Status" uniqueList="1" sqlType="0" hierarchy="0" level="0" databaseField="1">
      <sharedItems count="2" containsBlank="0" containsDate="0" containsInteger="0" containsMixedTypes="0" containsNonDate="1" containsNumber="0" containsSemiMixedTypes="1" containsString="1" longText="0">
        <s v="open"/>
        <s v="closed"/>
      </sharedItems>
    </cacheField>
    <cacheField name="Claim Closed Date" uniqueList="1" sqlType="0" hierarchy="0" level="0" databaseField="1">
      <sharedItems count="9" containsBlank="1" containsDate="0" containsInteger="0" containsMixedTypes="0" containsNonDate="1" containsNumber="0" containsSemiMixedTypes="1" containsString="1" longText="0">
        <m/>
        <s v="02/07/2024"/>
        <s v="06/19/2023"/>
        <s v="05/09/2022"/>
        <s v="02/06/2024"/>
        <s v="01/16/2023"/>
        <s v="08/15/2022"/>
        <s v="08/05/2022"/>
        <s v="07/21/2025"/>
      </sharedItems>
    </cacheField>
    <cacheField name="Coverage" uniqueList="1" sqlType="0" hierarchy="0" level="0" databaseField="1">
      <sharedItems count="6" containsBlank="0" containsDate="0" containsInteger="0" containsMixedTypes="0" containsNonDate="1" containsNumber="0" containsSemiMixedTypes="1" containsString="1" longText="0">
        <s v="Premises/Operations-Products/Completed Operations-Advertising and Personal Injury-Bodily Injury"/>
        <s v="Building - Property - Property Damages"/>
        <s v="Personal Property - Personal Property Damages"/>
        <s v="Business Income - Loss of Use"/>
        <s v="Premises/Operations-Products/Completed Operations-Hired and NonOwned-Property Damage"/>
        <s v="Premises/Operations-Products/Completed Operations-Hired and NonOwned-MedPay"/>
      </sharedItems>
    </cacheField>
    <cacheField name="Outstanding Loss Reserve" uniqueList="1" sqlType="0" hierarchy="0" level="0" databaseField="1">
      <sharedItems count="3" containsBlank="0" containsDate="0" containsInteger="0" containsMixedTypes="0" containsNonDate="1" containsNumber="1" containsSemiMixedTypes="0" containsString="0" longText="0">
        <n v="4200"/>
        <n v="0"/>
        <n v="650.9"/>
      </sharedItems>
    </cacheField>
    <cacheField name="Total Paid Loss Net Salvage/Subro/Loss Recovery" uniqueList="1" sqlType="0" hierarchy="0" level="0" databaseField="1">
      <sharedItems count="5" containsBlank="0" containsDate="0" containsInteger="0" containsMixedTypes="0" containsNonDate="1" containsNumber="1" containsSemiMixedTypes="0" containsString="0" longText="0">
        <n v="0"/>
        <n v="9346.17"/>
        <n v="21352"/>
        <n v="2391.35"/>
        <n v="6349.1"/>
      </sharedItems>
    </cacheField>
    <cacheField name="Incurred w/o ALAE" uniqueList="1" sqlType="0" hierarchy="0" level="0" databaseField="1">
      <sharedItems count="6" containsBlank="0" containsDate="0" containsInteger="0" containsMixedTypes="0" containsNonDate="1" containsNumber="1" containsSemiMixedTypes="0" containsString="0" longText="0">
        <n v="4200"/>
        <n v="9346.17"/>
        <n v="21352"/>
        <n v="0"/>
        <n v="2391.35"/>
        <n v="7000"/>
      </sharedItems>
    </cacheField>
    <cacheField name="ALAE Reserve" uniqueList="1" sqlType="0" hierarchy="0" level="0" databaseField="1">
      <sharedItems count="1" containsBlank="0" containsDate="0" containsInteger="1" containsMixedTypes="0" containsNonDate="1" containsNumber="1" containsSemiMixedTypes="0" containsString="0" longText="0">
        <n v="0"/>
      </sharedItems>
    </cacheField>
    <cacheField name="ALAE Paid" uniqueList="1" sqlType="0" hierarchy="0" level="0" databaseField="1">
      <sharedItems count="2" containsBlank="0" containsDate="0" containsInteger="0" containsMixedTypes="0" containsNonDate="1" containsNumber="1" containsSemiMixedTypes="0" containsString="0" longText="0">
        <n v="0"/>
        <n v="682.9"/>
      </sharedItems>
    </cacheField>
    <cacheField name="Total Incurred + ALAE" uniqueList="1" sqlType="0" hierarchy="0" level="0" databaseField="1">
      <sharedItems count="6" containsBlank="0" containsDate="0" containsInteger="0" containsMixedTypes="0" containsNonDate="1" containsNumber="1" containsSemiMixedTypes="0" containsString="0" longText="0">
        <n v="4200"/>
        <n v="9346.17"/>
        <n v="21352"/>
        <n v="0"/>
        <n v="3074.25"/>
        <n v="7000"/>
      </sharedItems>
    </cacheField>
    <cacheField name="Salvage Recovery" uniqueList="1" sqlType="0" hierarchy="0" level="0" databaseField="1">
      <sharedItems count="1" containsBlank="0" containsDate="0" containsInteger="1" containsMixedTypes="0" containsNonDate="1" containsNumber="1" containsSemiMixedTypes="0" containsString="0" longText="0">
        <n v="0"/>
      </sharedItems>
    </cacheField>
    <cacheField name="Subro Recovery" uniqueList="1" sqlType="0" hierarchy="0" level="0" databaseField="1">
      <sharedItems count="1" containsBlank="0" containsDate="0" containsInteger="1" containsMixedTypes="0" containsNonDate="1" containsNumber="1" containsSemiMixedTypes="0" containsString="0" longText="0">
        <n v="0"/>
      </sharedItems>
    </cacheField>
    <cacheField name="Loss Recovery" uniqueList="1" sqlType="0" hierarchy="0" level="0" databaseField="1">
      <sharedItems count="1" containsBlank="0" containsDate="0" containsInteger="1" containsMixedTypes="0" containsNonDate="1" containsNumber="1" containsSemiMixedTypes="0" containsString="0" longText="0">
        <n v="0"/>
      </sharedItems>
    </cacheField>
    <cacheField name="Deductible Recovery" uniqueList="1" sqlType="0" hierarchy="0" level="0" databaseField="1">
      <sharedItems count="1" containsBlank="0" containsDate="0" containsInteger="1" containsMixedTypes="0" containsNonDate="1" containsNumber="1" containsSemiMixedTypes="0" containsString="0" longText="0">
        <n v="0"/>
      </sharedItems>
    </cacheField>
    <cacheField name="Expense Recovery" uniqueList="1" sqlType="0" hierarchy="0" level="0" databaseField="1">
      <sharedItems count="1" containsBlank="0" containsDate="0" containsInteger="1" containsMixedTypes="0" containsNonDate="1" containsNumber="1" containsSemiMixedTypes="0" containsString="0" longText="0">
        <n v="0"/>
      </sharedItems>
    </cacheField>
    <cacheField name="Litigation Status" uniqueList="1" sqlType="0" hierarchy="0" level="0" databaseField="1">
      <sharedItems count="1" containsBlank="1" containsDate="0" containsInteger="0" containsMixedTypes="0" containsNonDate="1" containsNumber="0" containsSemiMixedTypes="1" containsString="0" longText="0">
        <m/>
      </sharedItems>
    </cacheField>
    <cacheField name="Cause Of Loss" uniqueList="1" sqlType="0" hierarchy="0" level="0" databaseField="1">
      <sharedItems count="5" containsBlank="0" containsDate="0" containsInteger="0" containsMixedTypes="0" containsNonDate="1" containsNumber="0" containsSemiMixedTypes="1" containsString="1" longText="0">
        <s v="Slip/Trip-Fall"/>
        <s v="Water Damage"/>
        <s v="Vandalism"/>
        <s v="Vehicle Damage"/>
        <s v="Windstorm/Hail"/>
      </sharedItems>
    </cacheField>
    <cacheField name="Description of Loss" uniqueList="1" sqlType="0" hierarchy="0" level="0" databaseField="1">
      <sharedItems count="6" containsBlank="0" containsDate="0" containsInteger="0" containsMixedTypes="0" containsNonDate="1" containsNumber="0" containsSemiMixedTypes="1" containsString="1" longText="0">
        <s v="Fall in Building"/>
        <s v="Freezing"/>
        <s v="Drain/Water Backup-Above"/>
        <s v="Glass Breakage"/>
        <s v="Collision"/>
        <s v="Wind"/>
      </sharedItems>
    </cacheField>
    <cacheField name="Contributing Factor" uniqueList="1" sqlType="0" hierarchy="0" level="0" databaseField="1">
      <sharedItems count="7" containsBlank="0" containsDate="0" containsInteger="0" containsMixedTypes="0" containsNonDate="1" containsNumber="0" containsSemiMixedTypes="1" containsString="1" longText="0">
        <s v="Personal Injury"/>
        <s v="Pipe Break"/>
        <s v="Parking Lot"/>
        <s v="Misc Items"/>
        <s v="Pole/Landscaping"/>
        <s v="Motor Vehicle Accident"/>
        <s v="Awning"/>
      </sharedItems>
    </cacheField>
    <cacheField name="Product" uniqueList="1" sqlType="0" hierarchy="0" level="0" databaseField="1">
      <sharedItems count="1" containsBlank="1" containsDate="0" containsInteger="0" containsMixedTypes="0" containsNonDate="1" containsNumber="0" containsSemiMixedTypes="1" containsString="0" longText="0">
        <m/>
      </sharedItems>
    </cacheField>
    <cacheField name="Manufacturer" uniqueList="1" sqlType="0" hierarchy="0" level="0" databaseField="1">
      <sharedItems count="1" containsBlank="1" containsDate="0" containsInteger="0" containsMixedTypes="0" containsNonDate="1" containsNumber="0" containsSemiMixedTypes="1" containsString="0" longText="0">
        <m/>
      </sharedItems>
    </cacheField>
    <cacheField name="Policy Region Description" uniqueList="1" sqlType="0" hierarchy="0" level="0" databaseField="1">
      <sharedItems count="1" containsBlank="1" containsDate="0" containsInteger="0" containsMixedTypes="0" containsNonDate="1" containsNumber="0" containsSemiMixedTypes="1" containsString="0" longText="0">
        <m/>
      </sharedItems>
    </cacheField>
    <cacheField name="Policy Holder Retailer Desc" uniqueList="1" sqlType="0" hierarchy="0" level="0" databaseField="1">
      <sharedItems count="1" containsBlank="1" containsDate="0" containsInteger="0" containsMixedTypes="0" containsNonDate="1" containsNumber="0" containsSemiMixedTypes="1" containsString="0" longText="0">
        <m/>
      </sharedItems>
    </cacheField>
    <cacheField name="Policy Holder Claim Number" uniqueList="1" sqlType="0" hierarchy="0" level="0" databaseField="1">
      <sharedItems count="1" containsBlank="0" containsDate="0" containsInteger="0" containsMixedTypes="0" containsNonDate="1" containsNumber="0" containsSemiMixedTypes="1" containsString="1" longText="0">
        <s v=""/>
      </sharedItems>
    </cacheField>
    <cacheField name="Occupation" uniqueList="1" sqlType="0" hierarchy="0" level="0" databaseField="1">
      <sharedItems count="1" containsBlank="0" containsDate="0" containsInteger="0" containsMixedTypes="0" containsNonDate="1" containsNumber="0" containsSemiMixedTypes="1" containsString="1" longText="0">
        <s v=" "/>
      </sharedItems>
    </cacheField>
    <cacheField name="Accident Day Of Week" uniqueList="1" sqlType="0" hierarchy="0" level="0" databaseField="1">
      <sharedItems count="6" containsBlank="0" containsDate="0" containsInteger="0" containsMixedTypes="0" containsNonDate="1" containsNumber="0" containsSemiMixedTypes="1" containsString="1" longText="0">
        <s v="Friday"/>
        <s v="Sunday"/>
        <s v="Saturday"/>
        <s v="Tuesday"/>
        <s v="Thursday"/>
        <s v="Monday"/>
      </sharedItems>
    </cacheField>
    <cacheField name="Insured Driver" uniqueList="1" sqlType="0" hierarchy="0" level="0" databaseField="1">
      <sharedItems count="1" containsBlank="0" containsDate="0" containsInteger="0" containsMixedTypes="0" containsNonDate="1" containsNumber="0" containsSemiMixedTypes="1" containsString="1" longText="0">
        <s v=" "/>
      </sharedItems>
    </cacheField>
    <cacheField name="Total Loss Indicator" uniqueList="1" sqlType="0" hierarchy="0" level="0" databaseField="1">
      <sharedItems count="1" containsBlank="1" containsDate="0" containsInteger="0" containsMixedTypes="0" containsNonDate="1" containsNumber="0" containsSemiMixedTypes="1" containsString="0" longText="0">
        <m/>
      </sharedItems>
    </cacheField>
    <cacheField name="Vehicle Year" uniqueList="1" sqlType="0" hierarchy="0" level="0" databaseField="1">
      <sharedItems count="1" containsBlank="1" containsDate="0" containsInteger="0" containsMixedTypes="0" containsNonDate="1" containsNumber="0" containsSemiMixedTypes="1" containsString="0" longText="0">
        <m/>
      </sharedItems>
    </cacheField>
    <cacheField name="Vehicle Manufacturer" uniqueList="1" sqlType="0" hierarchy="0" level="0" databaseField="1">
      <sharedItems count="1" containsBlank="1" containsDate="0" containsInteger="0" containsMixedTypes="0" containsNonDate="1" containsNumber="0" containsSemiMixedTypes="1" containsString="0" longText="0">
        <m/>
      </sharedItems>
    </cacheField>
    <cacheField name="Vehicle Model" uniqueList="1" sqlType="0" hierarchy="0" level="0" databaseField="1">
      <sharedItems count="1" containsBlank="1" containsDate="0" containsInteger="0" containsMixedTypes="0" containsNonDate="1" containsNumber="0" containsSemiMixedTypes="1" containsString="0" longText="0">
        <m/>
      </sharedItems>
    </cacheField>
    <cacheField name="Vehicle ID Number" uniqueList="1" sqlType="0" hierarchy="0" level="0" databaseField="1">
      <sharedItems count="1" containsBlank="1" containsDate="0" containsInteger="0" containsMixedTypes="0" containsNonDate="1" containsNumber="0" containsSemiMixedTypes="1" containsString="0" longText="0">
        <m/>
      </sharedItems>
    </cacheField>
    <cacheField name="Vehicle License Plate" uniqueList="1" sqlType="0" hierarchy="0" level="0" databaseField="1">
      <sharedItems count="1" containsBlank="1" containsDate="0" containsInteger="0" containsMixedTypes="0" containsNonDate="1" containsNumber="0" containsSemiMixedTypes="1" containsString="0" longText="0">
        <m/>
      </sharedItems>
    </cacheField>
    <cacheField name="Vehicle License State" uniqueList="1" sqlType="0" hierarchy="0" level="0" databaseField="1">
      <sharedItems count="1" containsBlank="1" containsDate="0" containsInteger="0" containsMixedTypes="0" containsNonDate="1" containsNumber="0" containsSemiMixedTypes="1" containsString="0" longText="0">
        <m/>
      </sharedItems>
    </cacheField>
    <cacheField name="Adjuster" uniqueList="1" sqlType="0" hierarchy="0" level="0" databaseField="1">
      <sharedItems count="9" containsBlank="0" containsDate="0" containsInteger="0" containsMixedTypes="0" containsNonDate="1" containsNumber="0" containsSemiMixedTypes="1" containsString="1" longText="0">
        <s v="BIEBER, HANNAH"/>
        <s v="GLEASON, KATHY"/>
        <s v="MUNRO, NATHAN"/>
        <s v="DYLEWICZ, ANDREW"/>
        <s v="BARNES, WILLIAM"/>
        <s v="YOUNG, LENDA"/>
        <s v="GIBBONS, RYAN"/>
        <s v="TOLSON, WYATT"/>
        <s v="LEWIS, JENNIFER"/>
      </sharedItems>
    </cacheField>
    <cacheField name="Record Only Indicator" uniqueList="1" sqlType="0" hierarchy="0" level="0" databaseField="1">
      <sharedItems count="1" containsBlank="1" containsDate="0" containsInteger="0" containsMixedTypes="0" containsNonDate="1" containsNumber="0" containsSemiMixedTypes="1" containsString="0" longText="0">
        <m/>
      </sharedItems>
    </cacheField>
    <cacheField name="Policy" uniqueList="1" sqlType="0" hierarchy="0" level="0" databaseField="1">
      <sharedItems count="4" containsBlank="0" containsDate="0" containsInteger="0" containsMixedTypes="0" containsNonDate="1" containsNumber="0" containsSemiMixedTypes="1" containsString="1" longText="0">
        <s v="ODS-H351942-04"/>
        <s v="ODS-H351942-03"/>
        <s v="ODS-H351942-02"/>
        <s v="ODS-H351942-01"/>
      </sharedItems>
    </cacheField>
    <cacheField name="Policy Year" uniqueList="1" sqlType="0" hierarchy="0" level="0" databaseField="1">
      <sharedItems count="4" containsBlank="0" containsDate="0" containsInteger="1" containsMixedTypes="0" containsNonDate="1" containsNumber="1" containsSemiMixedTypes="0" containsString="0" longText="0">
        <n v="2024"/>
        <n v="2023"/>
        <n v="2022"/>
        <n v="2021"/>
      </sharedItems>
    </cacheField>
    <cacheField name="Meets review threshold" uniqueList="1" sqlType="0" hierarchy="0" level="0" databaseField="1">
      <sharedItems count="1" containsBlank="0" containsDate="0" containsInteger="0" containsMixedTypes="0" containsNonDate="1" containsNumber="0" containsSemiMixedTypes="1" containsString="1" longText="0">
        <s v="Below threshold"/>
      </sharedItems>
    </cacheField>
    <cacheField name="Claim Feature Number" uniqueList="1" sqlType="0" hierarchy="0" level="0" databaseField="1">
      <sharedItems count="10" containsBlank="0" containsDate="0" containsInteger="0" containsMixedTypes="0" containsNonDate="1" containsNumber="0" containsSemiMixedTypes="1" containsString="1" longText="0">
        <s v="85-0071149301"/>
        <s v="85-0054506401"/>
        <s v="85-0038646301"/>
        <s v="85-0002186801"/>
        <s v="85-0052780901"/>
        <s v="85-0029449201"/>
        <s v="85-0019998301"/>
        <s v="85-0019229401"/>
        <s v="85-0071149302"/>
        <s v="85-0080434301"/>
      </sharedItems>
    </cacheField>
    <cacheField name="Total Incurred" uniqueList="1" sqlType="0" hierarchy="0" level="0" databaseField="1">
      <sharedItems count="6" containsBlank="0" containsDate="0" containsInteger="0" containsMixedTypes="0" containsNonDate="1" containsNumber="1" containsSemiMixedTypes="0" containsString="0" longText="0">
        <n v="4200"/>
        <n v="9346.17"/>
        <n v="21352"/>
        <n v="0"/>
        <n v="2391.35"/>
        <n v="7000"/>
      </sharedItems>
    </cacheField>
    <cacheField name="Distinct Claim Helper" uniqueList="1" sqlType="0" hierarchy="0" level="0" databaseField="1">
      <sharedItems count="2" containsBlank="0" containsDate="0" containsInteger="1" containsMixedTypes="0" containsNonDate="1" containsNumber="1" containsSemiMixedTypes="0" containsString="0" longText="0">
        <n v="1"/>
        <n v="0"/>
      </sharedItems>
    </cacheField>
  </cacheFields>
</pivotCacheDefinition>
</file>

<file path=xl/pivotCache/pivotCacheRecords1.xml><?xml version="1.0" encoding="utf-8"?>
<pivotCacheRecords xmlns="http://schemas.openxmlformats.org/spreadsheetml/2006/main" count="10">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0"/>
    <x v="0"/>
    <x v="1"/>
    <x v="0"/>
    <x v="1"/>
    <x v="0"/>
    <x v="0"/>
    <x v="0"/>
    <x v="0"/>
    <x v="1"/>
    <x v="1"/>
    <x v="1"/>
    <x v="1"/>
    <x v="1"/>
    <x v="1"/>
    <x v="1"/>
    <x v="1"/>
    <x v="1"/>
    <x v="1"/>
    <x v="1"/>
    <x v="1"/>
    <x v="0"/>
    <x v="0"/>
    <x v="1"/>
    <x v="0"/>
    <x v="0"/>
    <x v="0"/>
    <x v="0"/>
    <x v="0"/>
    <x v="0"/>
    <x v="1"/>
    <x v="1"/>
    <x v="1"/>
    <x v="0"/>
    <x v="0"/>
    <x v="0"/>
    <x v="0"/>
    <x v="0"/>
    <x v="0"/>
    <x v="1"/>
    <x v="0"/>
    <x v="0"/>
    <x v="0"/>
    <x v="0"/>
    <x v="0"/>
    <x v="0"/>
    <x v="0"/>
    <x v="0"/>
    <x v="1"/>
    <x v="0"/>
    <x v="1"/>
    <x v="1"/>
    <x v="0"/>
    <x v="1"/>
    <x v="1"/>
    <x v="0"/>
  </r>
  <r>
    <x v="0"/>
    <x v="0"/>
    <x v="2"/>
    <x v="0"/>
    <x v="1"/>
    <x v="1"/>
    <x v="1"/>
    <x v="0"/>
    <x v="0"/>
    <x v="2"/>
    <x v="2"/>
    <x v="2"/>
    <x v="2"/>
    <x v="2"/>
    <x v="2"/>
    <x v="1"/>
    <x v="2"/>
    <x v="1"/>
    <x v="1"/>
    <x v="2"/>
    <x v="2"/>
    <x v="0"/>
    <x v="0"/>
    <x v="2"/>
    <x v="0"/>
    <x v="0"/>
    <x v="0"/>
    <x v="0"/>
    <x v="0"/>
    <x v="0"/>
    <x v="1"/>
    <x v="2"/>
    <x v="2"/>
    <x v="0"/>
    <x v="0"/>
    <x v="0"/>
    <x v="0"/>
    <x v="0"/>
    <x v="0"/>
    <x v="2"/>
    <x v="0"/>
    <x v="0"/>
    <x v="0"/>
    <x v="0"/>
    <x v="0"/>
    <x v="0"/>
    <x v="0"/>
    <x v="0"/>
    <x v="2"/>
    <x v="0"/>
    <x v="2"/>
    <x v="2"/>
    <x v="0"/>
    <x v="2"/>
    <x v="2"/>
    <x v="0"/>
  </r>
  <r>
    <x v="0"/>
    <x v="0"/>
    <x v="3"/>
    <x v="0"/>
    <x v="1"/>
    <x v="2"/>
    <x v="1"/>
    <x v="0"/>
    <x v="0"/>
    <x v="3"/>
    <x v="3"/>
    <x v="3"/>
    <x v="3"/>
    <x v="3"/>
    <x v="3"/>
    <x v="1"/>
    <x v="3"/>
    <x v="1"/>
    <x v="1"/>
    <x v="0"/>
    <x v="3"/>
    <x v="0"/>
    <x v="0"/>
    <x v="3"/>
    <x v="0"/>
    <x v="0"/>
    <x v="0"/>
    <x v="0"/>
    <x v="0"/>
    <x v="0"/>
    <x v="2"/>
    <x v="3"/>
    <x v="3"/>
    <x v="0"/>
    <x v="0"/>
    <x v="0"/>
    <x v="0"/>
    <x v="0"/>
    <x v="0"/>
    <x v="3"/>
    <x v="0"/>
    <x v="0"/>
    <x v="0"/>
    <x v="0"/>
    <x v="0"/>
    <x v="0"/>
    <x v="0"/>
    <x v="0"/>
    <x v="3"/>
    <x v="0"/>
    <x v="3"/>
    <x v="3"/>
    <x v="0"/>
    <x v="3"/>
    <x v="3"/>
    <x v="0"/>
  </r>
  <r>
    <x v="0"/>
    <x v="0"/>
    <x v="4"/>
    <x v="0"/>
    <x v="1"/>
    <x v="3"/>
    <x v="2"/>
    <x v="0"/>
    <x v="0"/>
    <x v="1"/>
    <x v="1"/>
    <x v="1"/>
    <x v="4"/>
    <x v="4"/>
    <x v="4"/>
    <x v="1"/>
    <x v="4"/>
    <x v="2"/>
    <x v="1"/>
    <x v="0"/>
    <x v="3"/>
    <x v="0"/>
    <x v="0"/>
    <x v="3"/>
    <x v="0"/>
    <x v="0"/>
    <x v="0"/>
    <x v="0"/>
    <x v="0"/>
    <x v="0"/>
    <x v="3"/>
    <x v="4"/>
    <x v="4"/>
    <x v="0"/>
    <x v="0"/>
    <x v="0"/>
    <x v="0"/>
    <x v="0"/>
    <x v="0"/>
    <x v="4"/>
    <x v="0"/>
    <x v="0"/>
    <x v="0"/>
    <x v="0"/>
    <x v="0"/>
    <x v="0"/>
    <x v="0"/>
    <x v="0"/>
    <x v="4"/>
    <x v="0"/>
    <x v="1"/>
    <x v="1"/>
    <x v="0"/>
    <x v="4"/>
    <x v="3"/>
    <x v="0"/>
  </r>
  <r>
    <x v="0"/>
    <x v="0"/>
    <x v="5"/>
    <x v="0"/>
    <x v="1"/>
    <x v="0"/>
    <x v="0"/>
    <x v="0"/>
    <x v="0"/>
    <x v="2"/>
    <x v="2"/>
    <x v="2"/>
    <x v="5"/>
    <x v="5"/>
    <x v="5"/>
    <x v="1"/>
    <x v="5"/>
    <x v="3"/>
    <x v="1"/>
    <x v="0"/>
    <x v="3"/>
    <x v="0"/>
    <x v="0"/>
    <x v="3"/>
    <x v="0"/>
    <x v="0"/>
    <x v="0"/>
    <x v="0"/>
    <x v="0"/>
    <x v="0"/>
    <x v="1"/>
    <x v="1"/>
    <x v="1"/>
    <x v="0"/>
    <x v="0"/>
    <x v="0"/>
    <x v="0"/>
    <x v="0"/>
    <x v="0"/>
    <x v="1"/>
    <x v="0"/>
    <x v="0"/>
    <x v="0"/>
    <x v="0"/>
    <x v="0"/>
    <x v="0"/>
    <x v="0"/>
    <x v="0"/>
    <x v="5"/>
    <x v="0"/>
    <x v="2"/>
    <x v="2"/>
    <x v="0"/>
    <x v="5"/>
    <x v="3"/>
    <x v="0"/>
  </r>
  <r>
    <x v="0"/>
    <x v="0"/>
    <x v="6"/>
    <x v="0"/>
    <x v="1"/>
    <x v="3"/>
    <x v="2"/>
    <x v="0"/>
    <x v="0"/>
    <x v="3"/>
    <x v="3"/>
    <x v="3"/>
    <x v="6"/>
    <x v="6"/>
    <x v="6"/>
    <x v="1"/>
    <x v="6"/>
    <x v="4"/>
    <x v="1"/>
    <x v="0"/>
    <x v="3"/>
    <x v="0"/>
    <x v="0"/>
    <x v="3"/>
    <x v="0"/>
    <x v="0"/>
    <x v="0"/>
    <x v="0"/>
    <x v="0"/>
    <x v="0"/>
    <x v="3"/>
    <x v="4"/>
    <x v="5"/>
    <x v="0"/>
    <x v="0"/>
    <x v="0"/>
    <x v="0"/>
    <x v="0"/>
    <x v="0"/>
    <x v="3"/>
    <x v="0"/>
    <x v="0"/>
    <x v="0"/>
    <x v="0"/>
    <x v="0"/>
    <x v="0"/>
    <x v="0"/>
    <x v="0"/>
    <x v="6"/>
    <x v="0"/>
    <x v="3"/>
    <x v="3"/>
    <x v="0"/>
    <x v="6"/>
    <x v="3"/>
    <x v="0"/>
  </r>
  <r>
    <x v="0"/>
    <x v="0"/>
    <x v="7"/>
    <x v="0"/>
    <x v="1"/>
    <x v="4"/>
    <x v="2"/>
    <x v="0"/>
    <x v="0"/>
    <x v="3"/>
    <x v="3"/>
    <x v="3"/>
    <x v="7"/>
    <x v="7"/>
    <x v="7"/>
    <x v="1"/>
    <x v="7"/>
    <x v="1"/>
    <x v="1"/>
    <x v="3"/>
    <x v="4"/>
    <x v="0"/>
    <x v="1"/>
    <x v="4"/>
    <x v="0"/>
    <x v="0"/>
    <x v="0"/>
    <x v="0"/>
    <x v="0"/>
    <x v="0"/>
    <x v="4"/>
    <x v="5"/>
    <x v="6"/>
    <x v="0"/>
    <x v="0"/>
    <x v="0"/>
    <x v="0"/>
    <x v="0"/>
    <x v="0"/>
    <x v="2"/>
    <x v="0"/>
    <x v="0"/>
    <x v="0"/>
    <x v="0"/>
    <x v="0"/>
    <x v="0"/>
    <x v="0"/>
    <x v="0"/>
    <x v="7"/>
    <x v="0"/>
    <x v="3"/>
    <x v="3"/>
    <x v="0"/>
    <x v="7"/>
    <x v="4"/>
    <x v="0"/>
  </r>
  <r>
    <x v="0"/>
    <x v="0"/>
    <x v="0"/>
    <x v="1"/>
    <x v="0"/>
    <x v="0"/>
    <x v="0"/>
    <x v="0"/>
    <x v="0"/>
    <x v="0"/>
    <x v="0"/>
    <x v="0"/>
    <x v="0"/>
    <x v="0"/>
    <x v="0"/>
    <x v="0"/>
    <x v="0"/>
    <x v="5"/>
    <x v="2"/>
    <x v="4"/>
    <x v="5"/>
    <x v="0"/>
    <x v="0"/>
    <x v="5"/>
    <x v="0"/>
    <x v="0"/>
    <x v="0"/>
    <x v="0"/>
    <x v="0"/>
    <x v="0"/>
    <x v="0"/>
    <x v="0"/>
    <x v="0"/>
    <x v="0"/>
    <x v="0"/>
    <x v="0"/>
    <x v="0"/>
    <x v="0"/>
    <x v="0"/>
    <x v="0"/>
    <x v="0"/>
    <x v="0"/>
    <x v="0"/>
    <x v="0"/>
    <x v="0"/>
    <x v="0"/>
    <x v="0"/>
    <x v="0"/>
    <x v="0"/>
    <x v="0"/>
    <x v="0"/>
    <x v="0"/>
    <x v="0"/>
    <x v="8"/>
    <x v="5"/>
    <x v="1"/>
  </r>
  <r>
    <x v="0"/>
    <x v="0"/>
    <x v="8"/>
    <x v="0"/>
    <x v="1"/>
    <x v="3"/>
    <x v="2"/>
    <x v="0"/>
    <x v="0"/>
    <x v="0"/>
    <x v="0"/>
    <x v="0"/>
    <x v="8"/>
    <x v="8"/>
    <x v="8"/>
    <x v="1"/>
    <x v="8"/>
    <x v="2"/>
    <x v="1"/>
    <x v="0"/>
    <x v="3"/>
    <x v="0"/>
    <x v="0"/>
    <x v="3"/>
    <x v="0"/>
    <x v="0"/>
    <x v="0"/>
    <x v="0"/>
    <x v="0"/>
    <x v="0"/>
    <x v="1"/>
    <x v="2"/>
    <x v="1"/>
    <x v="0"/>
    <x v="0"/>
    <x v="0"/>
    <x v="0"/>
    <x v="0"/>
    <x v="0"/>
    <x v="5"/>
    <x v="0"/>
    <x v="0"/>
    <x v="0"/>
    <x v="0"/>
    <x v="0"/>
    <x v="0"/>
    <x v="0"/>
    <x v="0"/>
    <x v="8"/>
    <x v="0"/>
    <x v="0"/>
    <x v="0"/>
    <x v="0"/>
    <x v="9"/>
    <x v="3"/>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s:pivotTableDefinition xmlns:s="http://schemas.openxmlformats.org/spreadsheetml/2006/main" name="PivotTable1"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s:location ref="A6:N17" firstHeaderRow="0" firstDataRow="1" firstDataCol="9" rowPageCount="4" colPageCount="1"/>
  <s:pivotFields count="56">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9">
        <s:item t="data" sd="1" x="0"/>
        <s:item t="data" sd="1" x="1"/>
        <s:item t="data" sd="1" x="2"/>
        <s:item t="data" sd="1" x="3"/>
        <s:item t="data" sd="1" x="4"/>
        <s:item t="data" sd="1" x="5"/>
        <s:item t="data" sd="1" x="6"/>
        <s:item t="data" sd="1" x="7"/>
        <s:item t="data" sd="1" x="8"/>
      </s:items>
    </s:pivotField>
    <s: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2">
        <s:item t="data" sd="1" x="0"/>
        <s:item t="data" sd="1" x="1"/>
      </s:items>
    </s:pivotField>
    <s: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2">
        <s:item t="data" sd="1" x="0"/>
        <s:item t="data" sd="1" x="1"/>
      </s:items>
    </s:pivotField>
    <s: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5">
        <s:item t="data" sd="1" x="0"/>
        <s:item t="data" sd="1" x="1"/>
        <s:item t="data" sd="1" x="2"/>
        <s:item t="data" sd="1" x="3"/>
        <s:item t="data" sd="1" x="4"/>
      </s:items>
    </s:pivotField>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1">
        <s:item t="data" sd="1" x="0"/>
      </s:items>
    </s:pivotField>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Row" showDropDowns="1" compact="0" numFmtId="14"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4">
        <s:item t="data" sd="1" x="0"/>
        <s:item t="data" sd="1" x="1"/>
        <s:item t="data" sd="1" x="2"/>
        <s:item t="data" sd="1" x="3"/>
      </s:items>
    </s:pivotField>
    <s: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2">
        <s:item t="data" sd="1" x="0"/>
        <s:item t="data" sd="1" x="1"/>
      </s:items>
    </s:pivotField>
    <s: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1">
        <s:item t="data" sd="1" x="0"/>
      </s:items>
    </s:pivotField>
    <s: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5">
        <s:item t="data" sd="1" x="0"/>
        <s:item t="data" sd="1" x="1"/>
        <s:item t="data" sd="1" x="2"/>
        <s:item t="data" sd="1" x="3"/>
        <s:item t="data" sd="1" x="4"/>
      </s:items>
    </s:pivotField>
    <s: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6">
        <s:item t="data" sd="1" x="0"/>
        <s:item t="data" sd="1" x="1"/>
        <s:item t="data" sd="1" x="2"/>
        <s:item t="data" sd="1" x="3"/>
        <s:item t="data" sd="1" x="4"/>
        <s:item t="data" sd="1" x="5"/>
      </s:items>
    </s:pivotField>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4">
        <s:item t="data" sd="1" x="0"/>
        <s:item t="data" sd="1" x="1"/>
        <s:item t="data" sd="1" x="2"/>
        <s:item t="data" sd="1" x="3"/>
      </s:items>
    </s:pivotField>
    <s:pivotField axis="axisRow" showDropDowns="1" compact="0" outline="0" subtotalTop="0" dragToRow="1" dragToCol="1" dragToPage="1" dragToData="1" dragOff="1" showAll="0" topAutoShow="1" itemPageCount="10" sortType="descending" defaultSubtotal="0" sumSubtotal="0" countASubtotal="0" avgSubtotal="0" maxSubtotal="0" minSubtotal="0" productSubtotal="0" countSubtotal="0" stdDevSubtotal="0" stdDevPSubtotal="0" varSubtotal="0" varPSubtotal="0">
      <s:items count="4">
        <s:item t="data" sd="1" x="0"/>
        <s:item t="data" sd="1" x="1"/>
        <s:item t="data" sd="1" x="2"/>
        <s:item t="data" sd="1" x="3"/>
      </s:items>
    </s:pivotField>
    <s:pivotField name="Claims at/above $50,000"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1">
        <s:item t="data" sd="1" x="0"/>
      </s:items>
    </s:pivotField>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s>
  <s:rowFields count="9">
    <s:field x="51"/>
    <s:field x="50"/>
    <s:field x="10"/>
    <s:field x="5"/>
    <s:field x="2"/>
    <s:field x="3"/>
    <s:field x="4"/>
    <s:field x="30"/>
    <s:field x="31"/>
  </s:rowFields>
  <s:rowItems count="11">
    <s:i t="data" r="0" i="0">
      <s:x v="3"/>
      <s:x v="3"/>
      <s:x v="3"/>
      <s:x v="2"/>
      <s:x v="3"/>
      <s:x v="0"/>
      <s:x v="1"/>
      <s:x v="2"/>
      <s:x v="3"/>
    </s:i>
    <s:i t="data" r="3" i="0">
      <s:x v="3"/>
      <s:x v="6"/>
      <s:x v="0"/>
      <s:x v="1"/>
      <s:x v="3"/>
      <s:x v="4"/>
    </s:i>
    <s:i t="data" r="3" i="0">
      <s:x v="4"/>
      <s:x v="7"/>
      <s:x v="0"/>
      <s:x v="1"/>
      <s:x v="4"/>
      <s:x v="5"/>
    </s:i>
    <s:i t="data" r="0" i="0">
      <s:x v="2"/>
      <s:x v="2"/>
      <s:x v="2"/>
      <s:x v="0"/>
      <s:x v="5"/>
      <s:x v="0"/>
      <s:x v="1"/>
      <s:x v="1"/>
      <s:x v="1"/>
    </s:i>
    <s:i t="data" r="3" i="0">
      <s:x v="1"/>
      <s:x v="2"/>
      <s:x v="0"/>
      <s:x v="1"/>
      <s:x v="1"/>
      <s:x v="2"/>
    </s:i>
    <s:i t="data" r="0" i="0">
      <s:x v="1"/>
      <s:x v="1"/>
      <s:x v="1"/>
      <s:x v="0"/>
      <s:x v="1"/>
      <s:x v="0"/>
      <s:x v="1"/>
      <s:x v="1"/>
      <s:x v="1"/>
    </s:i>
    <s:i t="data" r="3" i="0">
      <s:x v="3"/>
      <s:x v="4"/>
      <s:x v="0"/>
      <s:x v="1"/>
      <s:x v="3"/>
      <s:x v="4"/>
    </s:i>
    <s:i t="data" r="0" i="0">
      <s:x v="0"/>
      <s:x v="0"/>
      <s:x v="0"/>
      <s:x v="0"/>
      <s:x v="0"/>
      <s:x v="0"/>
      <s:x v="0"/>
      <s:x v="0"/>
      <s:x v="0"/>
    </s:i>
    <s:i t="data" r="5" i="0">
      <s:x v="1"/>
      <s:x v="0"/>
      <s:x v="0"/>
      <s:x v="0"/>
    </s:i>
    <s:i t="data" r="3" i="0">
      <s:x v="3"/>
      <s:x v="8"/>
      <s:x v="0"/>
      <s:x v="1"/>
      <s:x v="1"/>
      <s:x v="2"/>
    </s:i>
    <s:i t="grand" r="0" i="0">
      <s:x v="0"/>
    </s:i>
  </s:rowItems>
  <s:colFields count="1">
    <s:field x="-2"/>
  </s:colFields>
  <s:colItems count="5">
    <s:i t="data" r="0" i="0">
      <s:x v="0"/>
    </s:i>
    <s:i t="data" r="0" i="1">
      <s:x v="1"/>
    </s:i>
    <s:i t="data" r="0" i="2">
      <s:x v="2"/>
    </s:i>
    <s:i t="data" r="0" i="3">
      <s:x v="3"/>
    </s:i>
    <s:i t="data" r="0" i="4">
      <s:x v="4"/>
    </s:i>
  </s:colItems>
  <s:pageFields count="4">
    <s:pageField fld="7" hier="-1"/>
    <s:pageField fld="15" hier="-1"/>
    <s:pageField fld="29" hier="-1"/>
    <s:pageField fld="52" hier="-1" cap="Claims at/above $50,000"/>
  </s:pageFields>
  <s:dataFields count="5">
    <s:dataField name="$ Loss Reserve" fld="18" subtotal="sum" showDataAs="normal" baseField="-1" baseItem="1048832" numFmtId="166"/>
    <s:dataField name="$ Total Paid" fld="19" subtotal="sum" showDataAs="normal" baseField="-1" baseItem="1048832" numFmtId="166"/>
    <s:dataField name="$ ALAE Reserve" fld="21" subtotal="sum" showDataAs="normal" baseField="-1" baseItem="1048832" numFmtId="166"/>
    <s:dataField name="$ ALAE Paid" fld="22" subtotal="sum" showDataAs="normal" baseField="-1" baseItem="1048832" numFmtId="166"/>
    <s:dataField name="$ Total Incurred + ALAE" fld="23" subtotal="sum" showDataAs="normal" baseField="-1" baseItem="1048832" numFmtId="166"/>
  </s:dataFields>
  <s:pivotTableStyleInfo showRowHeaders="1" showColHeaders="1" showRowStripes="0" showColStripes="0" showLastColumn="1"/>
</s:pivotTableDefinition>
</file>

<file path=xl/pivotTables/pivotTable2.xml><?xml version="1.0" encoding="utf-8"?>
<s:pivotTableDefinition xmlns:s="http://schemas.openxmlformats.org/spreadsheetml/2006/main" name="PivotTable7"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8" indent="0" showEmptyRow="0" showEmptyCol="0" showHeaders="1" compact="1" outline="1" outlineData="1" compactData="1" published="0" gridDropZones="0" immersive="1" multipleFieldFilters="0" chartFormat="3" fieldListSortAscending="0" mdxSubqueries="0" applyNumberFormats="0" applyBorderFormats="0" applyFontFormats="0" applyPatternFormats="0" applyAlignmentFormats="0" applyWidthHeightFormats="1">
  <s:location ref="A1:C6" firstHeaderRow="0" firstDataRow="1" firstDataCol="1"/>
  <s:pivotFields count="56">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Row" showDropDowns="1" compact="1" outline="1" subtotalTop="1"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4">
        <s:item t="data" sd="1" x="0"/>
        <s:item t="data" sd="1" x="1"/>
        <s:item t="data" sd="1" x="2"/>
        <s:item t="data" sd="1" x="3"/>
      </s:items>
    </s:pivotField>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s>
  <s:rowFields count="1">
    <s:field x="51"/>
  </s:rowFields>
  <s:rowItems count="5">
    <s:i t="data" r="0" i="0">
      <s:x v="3"/>
    </s:i>
    <s:i t="data" r="0" i="0">
      <s:x v="2"/>
    </s:i>
    <s:i t="data" r="0" i="0">
      <s:x v="1"/>
    </s:i>
    <s:i t="data" r="0" i="0">
      <s:x v="0"/>
    </s:i>
    <s:i t="grand" r="0" i="0">
      <s:x v="0"/>
    </s:i>
  </s:rowItems>
  <s:colFields count="1">
    <s:field x="-2"/>
  </s:colFields>
  <s:colItems count="2">
    <s:i t="data" r="0" i="0">
      <s:x v="0"/>
    </s:i>
    <s:i t="data" r="0" i="1">
      <s:x v="1"/>
    </s:i>
  </s:colItems>
  <s:dataFields count="2">
    <s:dataField name="Number of Claims" fld="55" subtotal="sum" showDataAs="normal" baseField="-1" baseItem="1048832"/>
    <s:dataField name="Sum of Total Incurred" fld="54" subtotal="sum" showDataAs="normal" baseField="-1" baseItem="1048832" numFmtId="166"/>
  </s:dataFields>
  <s:chartFormats count="3">
    <s:chartFormat chart="0" format="0" series="1">
      <s:pivotArea type="data" dataOnly="1" outline="0" fieldPosition="0">
        <s:references count="1">
          <s:reference field="4294967294" selected="0">
            <s:x v="0"/>
          </s:reference>
        </s:references>
      </s:pivotArea>
    </s:chartFormat>
    <s:chartFormat chart="0" format="1" series="1">
      <s:pivotArea type="data" dataOnly="1" outline="0" fieldPosition="0">
        <s:references count="1">
          <s:reference field="4294967294" selected="0">
            <s:x v="1"/>
          </s:reference>
        </s:references>
      </s:pivotArea>
    </s:chartFormat>
    <s:chartFormat chart="0" format="2" series="0">
      <s:pivotArea type="data" dataOnly="1" outline="0" fieldPosition="0">
        <s:references count="2">
          <s:reference field="4294967294" selected="0">
            <s:x v="1"/>
          </s:reference>
          <s:reference field="51" selected="0">
            <s:x v="0"/>
          </s:reference>
        </s:references>
      </s:pivotArea>
    </s:chartFormat>
  </s:chartFormats>
  <s:pivotTableStyleInfo name="PivotStyleLight16" showRowHeaders="1" showColHeaders="1" showRowStripes="0" showColStripes="0" showLastColumn="1"/>
</s:pivotTableDefinition>
</file>

<file path=xl/tables/table1.xml><?xml version="1.0" encoding="utf-8"?>
<table xmlns="http://schemas.openxmlformats.org/spreadsheetml/2006/main" id="1" name="ClaimsData" displayName="ClaimsData" ref="A1:BC11" headerRowCount="1" totalsRowShown="0" headerRowDxfId="138" dataDxfId="137">
  <tableColumns count="55">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Outstanding Loss Reserve"/>
    <tableColumn id="20" name="Total Paid Loss Net Salvage/Subro/Loss Recovery"/>
    <tableColumn id="21" name="Incurred w/o ALAE"/>
    <tableColumn id="22" name="ALAE Reserve"/>
    <tableColumn id="23" name="ALAE Paid"/>
    <tableColumn id="24" name="Total Incurred + ALAE"/>
    <tableColumn id="25" name="Salvage Recovery"/>
    <tableColumn id="26" name="Subro Recovery"/>
    <tableColumn id="27" name="Loss Recovery"/>
    <tableColumn id="28" name="Deductible Recovery"/>
    <tableColumn id="29" name="Expense Recovery"/>
    <tableColumn id="30" name="Litigation Status"/>
    <tableColumn id="31" name="Cause Of Loss"/>
    <tableColumn id="32" name="Description of Loss"/>
    <tableColumn id="33" name="Contributing Factor"/>
    <tableColumn id="34" name="Product"/>
    <tableColumn id="35" name="Manufacturer"/>
    <tableColumn id="36" name="Policy Region Description"/>
    <tableColumn id="37" name="Policy Holder Retailer Desc"/>
    <tableColumn id="38" name="Policy Holder Claim Number"/>
    <tableColumn id="39" name="Occupation"/>
    <tableColumn id="40" name="Accident Day Of Week"/>
    <tableColumn id="41" name="Insured Driver"/>
    <tableColumn id="42" name="Total Loss Indicator"/>
    <tableColumn id="43" name="Vehicle Year"/>
    <tableColumn id="44" name="Vehicle Manufacturer"/>
    <tableColumn id="45" name="Vehicle Model"/>
    <tableColumn id="46" name="Vehicle ID Number"/>
    <tableColumn id="47" name="Vehicle License Plate"/>
    <tableColumn id="48" name="Vehicle License State"/>
    <tableColumn id="49" name="Adjuster"/>
    <tableColumn id="50" name="Policy"/>
    <tableColumn id="51" name="Policy Year"/>
    <tableColumn id="52" name="Claim Feature Number"/>
    <tableColumn id="53" name="Total Incurred"/>
    <tableColumn id="54" name="Meets review threshold"/>
    <tableColumn id="55" name="Distinct Claim Helper"/>
  </tableColumns>
  <tableStyleInfo name="TableStyleLight16" showFirstColumn="0" showLastColumn="0" showRowStripes="1" showColumnStripes="0"/>
</table>
</file>

<file path=xl/tables/table2.xml><?xml version="1.0" encoding="utf-8"?>
<table xmlns="http://schemas.openxmlformats.org/spreadsheetml/2006/main" id="2" name="RecordOnlyData" displayName="RecordOnlyData" ref="A1:AO2" headerRowCount="1" totalsRowShown="0" headerRowDxfId="80" dataDxfId="79">
  <tableColumns count="41">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Cause Of Loss"/>
    <tableColumn id="20" name="Description of Loss"/>
    <tableColumn id="21" name="Contributing Factor"/>
    <tableColumn id="22" name="Product"/>
    <tableColumn id="23" name="Manufacturer"/>
    <tableColumn id="24" name="Policy Region Description"/>
    <tableColumn id="25" name="Policy Holder Retailer Desc"/>
    <tableColumn id="26" name="Policy Holder Claim Number"/>
    <tableColumn id="27" name="Occupation"/>
    <tableColumn id="28" name="Accident Day Of Week"/>
    <tableColumn id="29" name="Insured Driver"/>
    <tableColumn id="30" name="Total Loss Indicator"/>
    <tableColumn id="31" name="Vehicle Year"/>
    <tableColumn id="32" name="Vehicle Manufacturer"/>
    <tableColumn id="33" name="Vehicle Model"/>
    <tableColumn id="34" name="Vehicle ID Number"/>
    <tableColumn id="35" name="Vehicle License Plate"/>
    <tableColumn id="36" name="Vehicle License State"/>
    <tableColumn id="37" name="Adjuster"/>
    <tableColumn id="38" name="Policy"/>
    <tableColumn id="39" name="Policy Year"/>
    <tableColumn id="40" name="Claim Feature Number"/>
    <tableColumn id="41" name="Distinct Claim Helper"/>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pivotTable" Target="/xl/pivotTables/pivotTable1.xml" Id="rId1"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pivotTable" Target="/xl/pivotTables/pivotTable2.xml" Id="rId2"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F10"/>
  <sheetViews>
    <sheetView tabSelected="1" workbookViewId="0">
      <selection activeCell="B2" sqref="B2"/>
    </sheetView>
  </sheetViews>
  <sheetFormatPr baseColWidth="8" defaultColWidth="8.85546875" defaultRowHeight="15"/>
  <cols>
    <col width="25.140625" customWidth="1" style="31" min="1" max="1"/>
    <col width="98.140625" customWidth="1" style="31" min="2" max="2"/>
    <col width="17.140625" customWidth="1" style="31" min="3" max="3"/>
    <col width="13.85546875" customWidth="1" style="31" min="4" max="4"/>
    <col width="15.28515625" customWidth="1" style="31" min="5" max="5"/>
    <col width="13.5703125" customWidth="1" style="31" min="6" max="6"/>
    <col width="11" customWidth="1" style="31" min="7" max="7"/>
  </cols>
  <sheetData>
    <row r="1" ht="129.75" customHeight="1" s="31">
      <c r="A1" s="30" t="n"/>
    </row>
    <row r="2" ht="29.25" customHeight="1" s="31">
      <c r="A2" s="1" t="inlineStr">
        <is>
          <t>Account Number</t>
        </is>
      </c>
      <c r="B2" s="2" t="inlineStr">
        <is>
          <t>1521802738</t>
        </is>
      </c>
    </row>
    <row r="3" ht="29.25" customHeight="1" s="31">
      <c r="A3" s="1" t="inlineStr">
        <is>
          <t>Account Name</t>
        </is>
      </c>
      <c r="B3" s="2" t="inlineStr">
        <is>
          <t>BUF Foods-ELP Foods LLC</t>
        </is>
      </c>
    </row>
    <row r="4" ht="29.25" customHeight="1" s="31">
      <c r="A4" s="1" t="inlineStr">
        <is>
          <t>Report Run Date</t>
        </is>
      </c>
      <c r="B4" s="20" t="inlineStr">
        <is>
          <t>10/19/2026</t>
        </is>
      </c>
    </row>
    <row r="5" ht="138" customHeight="1" s="31">
      <c r="A5" s="32" t="inlineStr">
        <is>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is>
      </c>
      <c r="B5" s="33" t="n"/>
      <c r="E5" s="3" t="n"/>
    </row>
    <row r="6" ht="62.25" customHeight="1" s="31">
      <c r="A6" s="32" t="inlineStr">
        <is>
          <t>This report contains information on all open claims; as well as closed claims limited to the current and prior six policy years.</t>
        </is>
      </c>
      <c r="B6" s="33" t="n"/>
    </row>
    <row r="8">
      <c r="A8" t="inlineStr">
        <is>
          <t>Claim review threshold</t>
        </is>
      </c>
      <c r="B8" s="6" t="n">
        <v>50000</v>
      </c>
      <c r="F8" s="4" t="n"/>
    </row>
    <row r="10">
      <c r="C10" s="5" t="n"/>
    </row>
  </sheetData>
  <mergeCells count="3">
    <mergeCell ref="A6:B6"/>
    <mergeCell ref="A1:B1"/>
    <mergeCell ref="A5:B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7"/>
  <sheetViews>
    <sheetView workbookViewId="0">
      <selection activeCell="A6" sqref="A6"/>
    </sheetView>
  </sheetViews>
  <sheetFormatPr baseColWidth="8" defaultRowHeight="15"/>
  <cols>
    <col width="16.5703125" bestFit="1" customWidth="1" style="31" min="1" max="1"/>
    <col width="8.42578125" bestFit="1" customWidth="1" style="31" min="2" max="2"/>
    <col width="21.7109375" bestFit="1" customWidth="1" style="31" min="3" max="3"/>
    <col width="27.28515625" bestFit="1" customWidth="1" style="31" min="4" max="4"/>
    <col width="16" bestFit="1" customWidth="1" style="31" min="5" max="5"/>
    <col width="15.7109375" bestFit="1" customWidth="1" style="31" min="6" max="6"/>
    <col width="20.42578125" bestFit="1" customWidth="1" style="31" min="7" max="7"/>
    <col width="21" bestFit="1" customWidth="1" style="31" min="8" max="9"/>
    <col width="14.5703125" bestFit="1" customWidth="1" style="31" min="10" max="10"/>
    <col width="11.140625" bestFit="1" customWidth="1" style="31" min="11" max="11"/>
    <col width="14.85546875" bestFit="1" customWidth="1" style="31" min="12" max="12"/>
    <col width="11.140625" bestFit="1" customWidth="1" style="31" min="13" max="13"/>
    <col width="21.5703125" bestFit="1" customWidth="1" style="31" min="14" max="14"/>
  </cols>
  <sheetData>
    <row r="1">
      <c r="A1" s="17" t="inlineStr">
        <is>
          <t>Policy Symbol</t>
        </is>
      </c>
      <c r="B1" s="18" t="inlineStr">
        <is>
          <t>(All)</t>
        </is>
      </c>
    </row>
    <row r="2">
      <c r="A2" s="17" t="inlineStr">
        <is>
          <t>Claim Status</t>
        </is>
      </c>
      <c r="B2" s="18" t="inlineStr">
        <is>
          <t>(All)</t>
        </is>
      </c>
    </row>
    <row r="3">
      <c r="A3" s="17" t="inlineStr">
        <is>
          <t>Litigation Status</t>
        </is>
      </c>
      <c r="B3" s="18" t="inlineStr">
        <is>
          <t>(All)</t>
        </is>
      </c>
    </row>
    <row r="4" ht="30" customHeight="1" s="31">
      <c r="A4" s="34" t="inlineStr">
        <is>
          <t>Claims at/above $50,000</t>
        </is>
      </c>
      <c r="B4" s="18" t="inlineStr">
        <is>
          <t>(All)</t>
        </is>
      </c>
    </row>
    <row r="6">
      <c r="A6" s="25" t="inlineStr">
        <is>
          <t>Policy Year</t>
        </is>
      </c>
      <c r="B6" s="25" t="inlineStr">
        <is>
          <t>Policy</t>
        </is>
      </c>
      <c r="C6" s="25" t="inlineStr">
        <is>
          <t>Policy Effective Date</t>
        </is>
      </c>
      <c r="D6" s="25" t="inlineStr">
        <is>
          <t>Account Location Identifier</t>
        </is>
      </c>
      <c r="E6" s="25" t="inlineStr">
        <is>
          <t>Claim Number</t>
        </is>
      </c>
      <c r="F6" s="25" t="inlineStr">
        <is>
          <t>Exposure</t>
        </is>
      </c>
      <c r="G6" s="25" t="inlineStr">
        <is>
          <t>Claimant Name</t>
        </is>
      </c>
      <c r="H6" s="25" t="inlineStr">
        <is>
          <t>Cause Of Loss</t>
        </is>
      </c>
      <c r="I6" s="25" t="inlineStr">
        <is>
          <t>Description of Loss</t>
        </is>
      </c>
      <c r="J6" s="25" t="inlineStr">
        <is>
          <t>$ Loss Reserve</t>
        </is>
      </c>
      <c r="K6" s="26" t="inlineStr">
        <is>
          <t>$ Total Paid</t>
        </is>
      </c>
      <c r="L6" s="26" t="inlineStr">
        <is>
          <t>$ ALAE Reserve</t>
        </is>
      </c>
      <c r="M6" s="26" t="inlineStr">
        <is>
          <t>$ ALAE Paid</t>
        </is>
      </c>
      <c r="N6" s="27" t="inlineStr">
        <is>
          <t>$ Total Incurred + ALAE</t>
        </is>
      </c>
    </row>
    <row r="7">
      <c r="A7" s="7" t="n">
        <v>2021</v>
      </c>
      <c r="B7" s="7" t="inlineStr">
        <is>
          <t>ODS-H351942-01</t>
        </is>
      </c>
      <c r="C7" s="8" t="inlineStr">
        <is>
          <t>08/16/2021</t>
        </is>
      </c>
      <c r="D7" s="7" t="inlineStr">
        <is>
          <t>1501 South Blvd, Charlotte, NC</t>
        </is>
      </c>
      <c r="E7" s="7" t="inlineStr">
        <is>
          <t>85-00021868</t>
        </is>
      </c>
      <c r="F7" s="7" t="inlineStr">
        <is>
          <t>01</t>
        </is>
      </c>
      <c r="G7" s="7" t="inlineStr">
        <is>
          <t>PITCO FOODS LLC,C/O WILLIAM MC</t>
        </is>
      </c>
      <c r="H7" s="7" t="inlineStr">
        <is>
          <t>Vandalism</t>
        </is>
      </c>
      <c r="I7" s="7" t="inlineStr">
        <is>
          <t>Glass Breakage</t>
        </is>
      </c>
      <c r="J7" s="9" t="n">
        <v>0</v>
      </c>
      <c r="K7" s="10" t="n">
        <v>0</v>
      </c>
      <c r="L7" s="10" t="n">
        <v>0</v>
      </c>
      <c r="M7" s="10" t="n">
        <v>0</v>
      </c>
      <c r="N7" s="11" t="n">
        <v>0</v>
      </c>
    </row>
    <row r="8">
      <c r="A8" s="7" t="n">
        <v>2021</v>
      </c>
      <c r="B8" s="7" t="inlineStr">
        <is>
          <t>ODS-H351942-01</t>
        </is>
      </c>
      <c r="C8" s="8" t="inlineStr">
        <is>
          <t>08/16/2021</t>
        </is>
      </c>
      <c r="D8" s="7" t="inlineStr">
        <is>
          <t>4910 Baum Blvd, Pittsburgh, PA</t>
        </is>
      </c>
      <c r="E8" s="7" t="inlineStr">
        <is>
          <t>85-00199983</t>
        </is>
      </c>
      <c r="F8" s="7" t="inlineStr">
        <is>
          <t>01</t>
        </is>
      </c>
      <c r="G8" s="7" t="inlineStr">
        <is>
          <t>PITCO FOODS LLC,C/O WILLIAM MC</t>
        </is>
      </c>
      <c r="H8" s="7" t="inlineStr">
        <is>
          <t>Vehicle Damage</t>
        </is>
      </c>
      <c r="I8" s="7" t="inlineStr">
        <is>
          <t>Collision</t>
        </is>
      </c>
      <c r="J8" s="9" t="n">
        <v>0</v>
      </c>
      <c r="K8" s="10" t="n">
        <v>0</v>
      </c>
      <c r="L8" s="10" t="n">
        <v>0</v>
      </c>
      <c r="M8" s="10" t="n">
        <v>0</v>
      </c>
      <c r="N8" s="11" t="n">
        <v>0</v>
      </c>
    </row>
    <row r="9">
      <c r="A9" s="7" t="n">
        <v>2021</v>
      </c>
      <c r="B9" s="7" t="inlineStr">
        <is>
          <t>ODS-H351942-01</t>
        </is>
      </c>
      <c r="C9" s="8" t="inlineStr">
        <is>
          <t>08/16/2021</t>
        </is>
      </c>
      <c r="D9" s="7" t="inlineStr">
        <is>
          <t>979 GreenTree Road, Pittsburgh, PA</t>
        </is>
      </c>
      <c r="E9" s="7" t="inlineStr">
        <is>
          <t>85-00192294</t>
        </is>
      </c>
      <c r="F9" s="7" t="inlineStr">
        <is>
          <t>01</t>
        </is>
      </c>
      <c r="G9" s="7" t="inlineStr">
        <is>
          <t>PITCO FOODS LLC,C/O WILLIAM MC</t>
        </is>
      </c>
      <c r="H9" s="7" t="inlineStr">
        <is>
          <t>Windstorm/Hail</t>
        </is>
      </c>
      <c r="I9" s="7" t="inlineStr">
        <is>
          <t>Wind</t>
        </is>
      </c>
      <c r="J9" s="9" t="n">
        <v>0</v>
      </c>
      <c r="K9" s="10" t="n">
        <v>2391.35</v>
      </c>
      <c r="L9" s="10" t="n">
        <v>0</v>
      </c>
      <c r="M9" s="10" t="n">
        <v>682.9</v>
      </c>
      <c r="N9" s="11" t="n">
        <v>3074.25</v>
      </c>
    </row>
    <row r="10">
      <c r="A10" s="7" t="n">
        <v>2022</v>
      </c>
      <c r="B10" s="7" t="inlineStr">
        <is>
          <t>ODS-H351942-02</t>
        </is>
      </c>
      <c r="C10" s="8" t="inlineStr">
        <is>
          <t>08/16/2022</t>
        </is>
      </c>
      <c r="D10" s="7" t="inlineStr">
        <is>
          <t>1020 Riverside Dr, Franklin, TN</t>
        </is>
      </c>
      <c r="E10" s="7" t="inlineStr">
        <is>
          <t>85-00294492</t>
        </is>
      </c>
      <c r="F10" s="7" t="inlineStr">
        <is>
          <t>01</t>
        </is>
      </c>
      <c r="G10" s="7" t="inlineStr">
        <is>
          <t>PITCO FOODS LLC,C/O WILLIAM MC</t>
        </is>
      </c>
      <c r="H10" s="7" t="inlineStr">
        <is>
          <t>Water Damage</t>
        </is>
      </c>
      <c r="I10" s="7" t="inlineStr">
        <is>
          <t>Freezing</t>
        </is>
      </c>
      <c r="J10" s="9" t="n">
        <v>0</v>
      </c>
      <c r="K10" s="10" t="n">
        <v>0</v>
      </c>
      <c r="L10" s="10" t="n">
        <v>0</v>
      </c>
      <c r="M10" s="10" t="n">
        <v>0</v>
      </c>
      <c r="N10" s="11" t="n">
        <v>0</v>
      </c>
    </row>
    <row r="11">
      <c r="A11" s="7" t="n">
        <v>2022</v>
      </c>
      <c r="B11" s="7" t="inlineStr">
        <is>
          <t>ODS-H351942-02</t>
        </is>
      </c>
      <c r="C11" s="8" t="inlineStr">
        <is>
          <t>08/16/2022</t>
        </is>
      </c>
      <c r="D11" s="7" t="inlineStr">
        <is>
          <t>13736 Conlan Cir, Charlotte, NC</t>
        </is>
      </c>
      <c r="E11" s="7" t="inlineStr">
        <is>
          <t>85-00386463</t>
        </is>
      </c>
      <c r="F11" s="7" t="inlineStr">
        <is>
          <t>01</t>
        </is>
      </c>
      <c r="G11" s="7" t="inlineStr">
        <is>
          <t>PITCO FOODS LLC,C/O WILLIAM MC</t>
        </is>
      </c>
      <c r="H11" s="7" t="inlineStr">
        <is>
          <t>Water Damage</t>
        </is>
      </c>
      <c r="I11" s="7" t="inlineStr">
        <is>
          <t>Drain/Water Backup-Above</t>
        </is>
      </c>
      <c r="J11" s="9" t="n">
        <v>0</v>
      </c>
      <c r="K11" s="10" t="n">
        <v>21352</v>
      </c>
      <c r="L11" s="10" t="n">
        <v>0</v>
      </c>
      <c r="M11" s="10" t="n">
        <v>0</v>
      </c>
      <c r="N11" s="11" t="n">
        <v>21352</v>
      </c>
    </row>
    <row r="12">
      <c r="A12" s="7" t="n">
        <v>2023</v>
      </c>
      <c r="B12" s="7" t="inlineStr">
        <is>
          <t>ODS-H351942-03</t>
        </is>
      </c>
      <c r="C12" s="8" t="inlineStr">
        <is>
          <t>08/16/2023</t>
        </is>
      </c>
      <c r="D12" s="7" t="inlineStr">
        <is>
          <t>1020 Riverside Dr, Franklin, TN</t>
        </is>
      </c>
      <c r="E12" s="7" t="inlineStr">
        <is>
          <t>85-00545064</t>
        </is>
      </c>
      <c r="F12" s="7" t="inlineStr">
        <is>
          <t>01</t>
        </is>
      </c>
      <c r="G12" s="7" t="inlineStr">
        <is>
          <t>PITCO FOODS LLC,C/O WILLIAM MC</t>
        </is>
      </c>
      <c r="H12" s="7" t="inlineStr">
        <is>
          <t>Water Damage</t>
        </is>
      </c>
      <c r="I12" s="7" t="inlineStr">
        <is>
          <t>Freezing</t>
        </is>
      </c>
      <c r="J12" s="9" t="n">
        <v>0</v>
      </c>
      <c r="K12" s="10" t="n">
        <v>9346.17</v>
      </c>
      <c r="L12" s="10" t="n">
        <v>0</v>
      </c>
      <c r="M12" s="10" t="n">
        <v>0</v>
      </c>
      <c r="N12" s="11" t="n">
        <v>9346.17</v>
      </c>
    </row>
    <row r="13">
      <c r="A13" s="7" t="n">
        <v>2023</v>
      </c>
      <c r="B13" s="7" t="inlineStr">
        <is>
          <t>ODS-H351942-03</t>
        </is>
      </c>
      <c r="C13" s="8" t="inlineStr">
        <is>
          <t>08/16/2023</t>
        </is>
      </c>
      <c r="D13" s="7" t="inlineStr">
        <is>
          <t>4910 Baum Blvd, Pittsburgh, PA</t>
        </is>
      </c>
      <c r="E13" s="7" t="inlineStr">
        <is>
          <t>85-00527809</t>
        </is>
      </c>
      <c r="F13" s="7" t="inlineStr">
        <is>
          <t>01</t>
        </is>
      </c>
      <c r="G13" s="7" t="inlineStr">
        <is>
          <t>PITCO FOODS LLC,C/O WILLIAM MC</t>
        </is>
      </c>
      <c r="H13" s="7" t="inlineStr">
        <is>
          <t>Vehicle Damage</t>
        </is>
      </c>
      <c r="I13" s="7" t="inlineStr">
        <is>
          <t>Collision</t>
        </is>
      </c>
      <c r="J13" s="9" t="n">
        <v>0</v>
      </c>
      <c r="K13" s="10" t="n">
        <v>0</v>
      </c>
      <c r="L13" s="10" t="n">
        <v>0</v>
      </c>
      <c r="M13" s="10" t="n">
        <v>0</v>
      </c>
      <c r="N13" s="11" t="n">
        <v>0</v>
      </c>
    </row>
    <row r="14">
      <c r="A14" s="7" t="n">
        <v>2024</v>
      </c>
      <c r="B14" s="7" t="inlineStr">
        <is>
          <t>ODS-H351942-04</t>
        </is>
      </c>
      <c r="C14" s="8" t="inlineStr">
        <is>
          <t>08/16/2024</t>
        </is>
      </c>
      <c r="D14" s="7" t="inlineStr">
        <is>
          <t>1020 Riverside Dr, Franklin, TN</t>
        </is>
      </c>
      <c r="E14" s="7" t="inlineStr">
        <is>
          <t>85-00711493</t>
        </is>
      </c>
      <c r="F14" s="7" t="inlineStr">
        <is>
          <t>01</t>
        </is>
      </c>
      <c r="G14" s="7" t="inlineStr">
        <is>
          <t>Hovey, Nancy</t>
        </is>
      </c>
      <c r="H14" s="7" t="inlineStr">
        <is>
          <t>Slip/Trip-Fall</t>
        </is>
      </c>
      <c r="I14" s="7" t="inlineStr">
        <is>
          <t>Fall in Building</t>
        </is>
      </c>
      <c r="J14" s="9" t="n">
        <v>4200</v>
      </c>
      <c r="K14" s="10" t="n">
        <v>0</v>
      </c>
      <c r="L14" s="10" t="n">
        <v>0</v>
      </c>
      <c r="M14" s="10" t="n">
        <v>0</v>
      </c>
      <c r="N14" s="11" t="n">
        <v>4200</v>
      </c>
    </row>
    <row r="15">
      <c r="A15" s="7" t="n">
        <v>2024</v>
      </c>
      <c r="B15" s="7" t="inlineStr">
        <is>
          <t>ODS-H351942-04</t>
        </is>
      </c>
      <c r="C15" s="8" t="inlineStr">
        <is>
          <t>08/16/2024</t>
        </is>
      </c>
      <c r="D15" s="7" t="inlineStr">
        <is>
          <t>1020 Riverside Dr, Franklin, TN</t>
        </is>
      </c>
      <c r="E15" s="7" t="inlineStr">
        <is>
          <t>85-00711493</t>
        </is>
      </c>
      <c r="F15" s="7" t="inlineStr">
        <is>
          <t>02</t>
        </is>
      </c>
      <c r="G15" s="7" t="inlineStr">
        <is>
          <t>Hovey, Nancy</t>
        </is>
      </c>
      <c r="H15" s="7" t="inlineStr">
        <is>
          <t>Slip/Trip-Fall</t>
        </is>
      </c>
      <c r="I15" s="7" t="inlineStr">
        <is>
          <t>Fall in Building</t>
        </is>
      </c>
      <c r="J15" s="9" t="n">
        <v>650.9</v>
      </c>
      <c r="K15" s="10" t="n">
        <v>6349.1</v>
      </c>
      <c r="L15" s="10" t="n">
        <v>0</v>
      </c>
      <c r="M15" s="10" t="n">
        <v>0</v>
      </c>
      <c r="N15" s="11" t="n">
        <v>7000</v>
      </c>
    </row>
    <row r="16">
      <c r="A16" s="7" t="n">
        <v>2024</v>
      </c>
      <c r="B16" s="7" t="inlineStr">
        <is>
          <t>ODS-H351942-04</t>
        </is>
      </c>
      <c r="C16" s="8" t="inlineStr">
        <is>
          <t>08/16/2024</t>
        </is>
      </c>
      <c r="D16" s="7" t="inlineStr">
        <is>
          <t>4910 Baum Blvd, Pittsburgh, PA</t>
        </is>
      </c>
      <c r="E16" s="7" t="inlineStr">
        <is>
          <t>85-00804343</t>
        </is>
      </c>
      <c r="F16" s="7" t="inlineStr">
        <is>
          <t>01</t>
        </is>
      </c>
      <c r="G16" s="7" t="inlineStr">
        <is>
          <t>PITCO FOODS LLC,C/O WILLIAM MC</t>
        </is>
      </c>
      <c r="H16" s="7" t="inlineStr">
        <is>
          <t>Water Damage</t>
        </is>
      </c>
      <c r="I16" s="7" t="inlineStr">
        <is>
          <t>Drain/Water Backup-Above</t>
        </is>
      </c>
      <c r="J16" s="9" t="n">
        <v>0</v>
      </c>
      <c r="K16" s="10" t="n">
        <v>0</v>
      </c>
      <c r="L16" s="10" t="n">
        <v>0</v>
      </c>
      <c r="M16" s="10" t="n">
        <v>0</v>
      </c>
      <c r="N16" s="11" t="n">
        <v>0</v>
      </c>
    </row>
    <row r="17">
      <c r="A17" s="7" t="inlineStr">
        <is>
          <t>Grand Total</t>
        </is>
      </c>
      <c r="B17" s="7" t="n"/>
      <c r="C17" s="8" t="n"/>
      <c r="D17" s="7" t="n"/>
      <c r="E17" s="7" t="n"/>
      <c r="F17" s="7" t="n"/>
      <c r="G17" s="7" t="n"/>
      <c r="H17" s="7" t="n"/>
      <c r="I17" s="7" t="n"/>
      <c r="J17" s="9" t="n">
        <v>4850.9</v>
      </c>
      <c r="K17" s="10" t="n">
        <v>39438.62</v>
      </c>
      <c r="L17" s="10" t="n">
        <v>0</v>
      </c>
      <c r="M17" s="10" t="n">
        <v>682.9</v>
      </c>
      <c r="N17" s="11" t="n">
        <v>44972.42</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6"/>
  <sheetViews>
    <sheetView workbookViewId="0">
      <selection activeCell="G38" sqref="G38"/>
    </sheetView>
  </sheetViews>
  <sheetFormatPr baseColWidth="8" defaultRowHeight="15"/>
  <cols>
    <col width="13.42578125" bestFit="1" customWidth="1" style="31" min="1" max="1"/>
    <col width="17.5703125" bestFit="1" customWidth="1" style="31" min="2" max="2"/>
    <col width="20.42578125" bestFit="1" customWidth="1" style="31" min="3" max="3"/>
  </cols>
  <sheetData>
    <row r="1">
      <c r="A1" s="22" t="inlineStr">
        <is>
          <t>Row Labels</t>
        </is>
      </c>
      <c r="B1" t="inlineStr">
        <is>
          <t>Number of Claims</t>
        </is>
      </c>
      <c r="C1" t="inlineStr">
        <is>
          <t>Sum of Total Incurred</t>
        </is>
      </c>
    </row>
    <row r="2">
      <c r="A2" s="30" t="n">
        <v>2021</v>
      </c>
      <c r="B2" t="n">
        <v>3</v>
      </c>
      <c r="C2" s="6" t="n">
        <v>2391.35</v>
      </c>
    </row>
    <row r="3">
      <c r="A3" s="30" t="n">
        <v>2022</v>
      </c>
      <c r="B3" t="n">
        <v>2</v>
      </c>
      <c r="C3" s="6" t="n">
        <v>21352</v>
      </c>
    </row>
    <row r="4">
      <c r="A4" s="30" t="n">
        <v>2023</v>
      </c>
      <c r="B4" t="n">
        <v>2</v>
      </c>
      <c r="C4" s="6" t="n">
        <v>9346.17</v>
      </c>
    </row>
    <row r="5">
      <c r="A5" s="30" t="n">
        <v>2024</v>
      </c>
      <c r="B5" t="n">
        <v>2</v>
      </c>
      <c r="C5" s="6" t="n">
        <v>11200</v>
      </c>
    </row>
    <row r="6">
      <c r="A6" s="30" t="inlineStr">
        <is>
          <t>Grand Total</t>
        </is>
      </c>
      <c r="B6" t="n">
        <v>9</v>
      </c>
      <c r="C6" s="6" t="n">
        <v>44289.52</v>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D11"/>
  <sheetViews>
    <sheetView workbookViewId="0">
      <selection activeCell="A2" sqref="A2"/>
    </sheetView>
  </sheetViews>
  <sheetFormatPr baseColWidth="8"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hidden="1" width="24" bestFit="1" customWidth="1" style="31" min="54" max="54"/>
    <col width="15.85546875" bestFit="1" customWidth="1" style="31" min="55" max="55"/>
    <col width="23" bestFit="1" customWidth="1" style="31" min="56" max="56"/>
    <col width="8.85546875" customWidth="1" style="31" min="57" max="58"/>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Policy</t>
        </is>
      </c>
      <c r="AY1" t="inlineStr">
        <is>
          <t>Policy Year</t>
        </is>
      </c>
      <c r="AZ1" t="inlineStr">
        <is>
          <t>Claim Feature Number</t>
        </is>
      </c>
      <c r="BA1" t="inlineStr">
        <is>
          <t>Total Incurred</t>
        </is>
      </c>
      <c r="BB1" t="inlineStr">
        <is>
          <t>Meets review threshold</t>
        </is>
      </c>
      <c r="BC1" t="inlineStr">
        <is>
          <t>Distinct Claim Helper</t>
        </is>
      </c>
    </row>
    <row r="2" s="31">
      <c r="A2" t="inlineStr">
        <is>
          <t>1521802738</t>
        </is>
      </c>
      <c r="B2" t="inlineStr">
        <is>
          <t>PITCO FOODS LLC</t>
        </is>
      </c>
      <c r="C2" t="inlineStr">
        <is>
          <t>85-00711493</t>
        </is>
      </c>
      <c r="D2" t="inlineStr">
        <is>
          <t>01</t>
        </is>
      </c>
      <c r="E2" t="inlineStr">
        <is>
          <t>Hovey, Nancy</t>
        </is>
      </c>
      <c r="F2" t="inlineStr">
        <is>
          <t>1020 Riverside Dr, Franklin, TN</t>
        </is>
      </c>
      <c r="G2" t="inlineStr">
        <is>
          <t>TN</t>
        </is>
      </c>
      <c r="H2" t="inlineStr">
        <is>
          <t>ODS</t>
        </is>
      </c>
      <c r="I2" t="inlineStr">
        <is>
          <t>H351942</t>
        </is>
      </c>
      <c r="J2" t="inlineStr">
        <is>
          <t>04</t>
        </is>
      </c>
      <c r="K2" s="24" t="inlineStr">
        <is>
          <t>08/16/2024</t>
        </is>
      </c>
      <c r="L2" s="24" t="inlineStr">
        <is>
          <t>08/16/2025</t>
        </is>
      </c>
      <c r="M2" s="24" t="inlineStr">
        <is>
          <t>11/08/2024</t>
        </is>
      </c>
      <c r="N2" s="24" t="inlineStr">
        <is>
          <t>12/10/2024</t>
        </is>
      </c>
      <c r="O2" t="n">
        <v>32</v>
      </c>
      <c r="P2" t="inlineStr">
        <is>
          <t>open</t>
        </is>
      </c>
      <c r="Q2" s="24" t="n"/>
      <c r="R2" t="inlineStr">
        <is>
          <t>Premises/Operations-Products/Completed Operations-Advertising and Personal Injury-Bodily Injury</t>
        </is>
      </c>
      <c r="S2" t="n">
        <v>4200</v>
      </c>
      <c r="T2" t="n">
        <v>0</v>
      </c>
      <c r="U2" t="n">
        <v>4200</v>
      </c>
      <c r="V2" t="n">
        <v>0</v>
      </c>
      <c r="W2" t="n">
        <v>0</v>
      </c>
      <c r="X2" t="n">
        <v>4200</v>
      </c>
      <c r="Y2" t="n">
        <v>0</v>
      </c>
      <c r="Z2" t="n">
        <v>0</v>
      </c>
      <c r="AA2" t="n">
        <v>0</v>
      </c>
      <c r="AB2" t="n">
        <v>0</v>
      </c>
      <c r="AC2" t="n">
        <v>0</v>
      </c>
      <c r="AE2" t="inlineStr">
        <is>
          <t>Slip/Trip-Fall</t>
        </is>
      </c>
      <c r="AF2" t="inlineStr">
        <is>
          <t>Fall in Building</t>
        </is>
      </c>
      <c r="AG2" t="inlineStr">
        <is>
          <t>Personal Injury</t>
        </is>
      </c>
      <c r="AL2" t="inlineStr"/>
      <c r="AM2" t="inlineStr">
        <is>
          <t> </t>
        </is>
      </c>
      <c r="AN2" t="inlineStr">
        <is>
          <t>Friday</t>
        </is>
      </c>
      <c r="AO2" t="inlineStr">
        <is>
          <t> </t>
        </is>
      </c>
      <c r="AW2" t="inlineStr">
        <is>
          <t>BIEBER, HANNAH</t>
        </is>
      </c>
      <c r="AX2" t="inlineStr">
        <is>
          <t>ODS-H351942-04</t>
        </is>
      </c>
      <c r="AY2" t="n">
        <v>2024</v>
      </c>
      <c r="AZ2" t="inlineStr">
        <is>
          <t>85-0071149301</t>
        </is>
      </c>
      <c r="BA2" t="n">
        <v>4200</v>
      </c>
      <c r="BB2" t="inlineStr">
        <is>
          <t>Below threshold</t>
        </is>
      </c>
      <c r="BC2" s="23" t="n">
        <v>1</v>
      </c>
    </row>
    <row r="3">
      <c r="A3" t="inlineStr">
        <is>
          <t>1521802738</t>
        </is>
      </c>
      <c r="B3" t="inlineStr">
        <is>
          <t>PITCO FOODS LLC</t>
        </is>
      </c>
      <c r="C3" t="inlineStr">
        <is>
          <t>85-00545064</t>
        </is>
      </c>
      <c r="D3" t="inlineStr">
        <is>
          <t>01</t>
        </is>
      </c>
      <c r="E3" t="inlineStr">
        <is>
          <t>PITCO FOODS LLC,C/O WILLIAM MC</t>
        </is>
      </c>
      <c r="F3" t="inlineStr">
        <is>
          <t>1020 Riverside Dr, Franklin, TN</t>
        </is>
      </c>
      <c r="G3" t="inlineStr">
        <is>
          <t>TN</t>
        </is>
      </c>
      <c r="H3" t="inlineStr">
        <is>
          <t>ODS</t>
        </is>
      </c>
      <c r="I3" t="inlineStr">
        <is>
          <t>H351942</t>
        </is>
      </c>
      <c r="J3" t="inlineStr">
        <is>
          <t>03</t>
        </is>
      </c>
      <c r="K3" t="inlineStr">
        <is>
          <t>08/16/2023</t>
        </is>
      </c>
      <c r="L3" t="inlineStr">
        <is>
          <t>08/16/2024</t>
        </is>
      </c>
      <c r="M3" t="inlineStr">
        <is>
          <t>01/14/2024</t>
        </is>
      </c>
      <c r="N3" t="inlineStr">
        <is>
          <t>02/02/2024</t>
        </is>
      </c>
      <c r="O3" t="n">
        <v>19</v>
      </c>
      <c r="P3" t="inlineStr">
        <is>
          <t>closed</t>
        </is>
      </c>
      <c r="Q3" t="inlineStr">
        <is>
          <t>02/07/2024</t>
        </is>
      </c>
      <c r="R3" t="inlineStr">
        <is>
          <t>Building - Property - Property Damages</t>
        </is>
      </c>
      <c r="S3" t="n">
        <v>0</v>
      </c>
      <c r="T3" t="n">
        <v>9346.17</v>
      </c>
      <c r="U3" t="n">
        <v>9346.17</v>
      </c>
      <c r="V3" t="n">
        <v>0</v>
      </c>
      <c r="W3" t="n">
        <v>0</v>
      </c>
      <c r="X3" t="n">
        <v>9346.17</v>
      </c>
      <c r="Y3" t="n">
        <v>0</v>
      </c>
      <c r="Z3" t="n">
        <v>0</v>
      </c>
      <c r="AA3" t="n">
        <v>0</v>
      </c>
      <c r="AB3" t="n">
        <v>0</v>
      </c>
      <c r="AC3" t="n">
        <v>0</v>
      </c>
      <c r="AE3" t="inlineStr">
        <is>
          <t>Water Damage</t>
        </is>
      </c>
      <c r="AF3" t="inlineStr">
        <is>
          <t>Freezing</t>
        </is>
      </c>
      <c r="AG3" t="inlineStr">
        <is>
          <t>Pipe Break</t>
        </is>
      </c>
      <c r="AL3" t="inlineStr"/>
      <c r="AM3" t="inlineStr">
        <is>
          <t> </t>
        </is>
      </c>
      <c r="AN3" t="inlineStr">
        <is>
          <t>Sunday</t>
        </is>
      </c>
      <c r="AO3" t="inlineStr">
        <is>
          <t> </t>
        </is>
      </c>
      <c r="AW3" t="inlineStr">
        <is>
          <t>GLEASON, KATHY</t>
        </is>
      </c>
      <c r="AX3" t="inlineStr">
        <is>
          <t>ODS-H351942-03</t>
        </is>
      </c>
      <c r="AY3" t="n">
        <v>2023</v>
      </c>
      <c r="AZ3" t="inlineStr">
        <is>
          <t>85-0054506401</t>
        </is>
      </c>
      <c r="BA3" t="n">
        <v>9346.17</v>
      </c>
      <c r="BB3" t="inlineStr">
        <is>
          <t>Below threshold</t>
        </is>
      </c>
      <c r="BC3" t="n">
        <v>1</v>
      </c>
    </row>
    <row r="4">
      <c r="A4" t="inlineStr">
        <is>
          <t>1521802738</t>
        </is>
      </c>
      <c r="B4" t="inlineStr">
        <is>
          <t>PITCO FOODS LLC</t>
        </is>
      </c>
      <c r="C4" t="inlineStr">
        <is>
          <t>85-00386463</t>
        </is>
      </c>
      <c r="D4" t="inlineStr">
        <is>
          <t>01</t>
        </is>
      </c>
      <c r="E4" t="inlineStr">
        <is>
          <t>PITCO FOODS LLC,C/O WILLIAM MC</t>
        </is>
      </c>
      <c r="F4" t="inlineStr">
        <is>
          <t>13736 Conlan Cir, Charlotte, NC</t>
        </is>
      </c>
      <c r="G4" t="inlineStr">
        <is>
          <t>NC</t>
        </is>
      </c>
      <c r="H4" t="inlineStr">
        <is>
          <t>ODS</t>
        </is>
      </c>
      <c r="I4" t="inlineStr">
        <is>
          <t>H351942</t>
        </is>
      </c>
      <c r="J4" t="inlineStr">
        <is>
          <t>02</t>
        </is>
      </c>
      <c r="K4" t="inlineStr">
        <is>
          <t>08/16/2022</t>
        </is>
      </c>
      <c r="L4" t="inlineStr">
        <is>
          <t>08/16/2023</t>
        </is>
      </c>
      <c r="M4" t="inlineStr">
        <is>
          <t>05/27/2023</t>
        </is>
      </c>
      <c r="N4" t="inlineStr">
        <is>
          <t>05/30/2023</t>
        </is>
      </c>
      <c r="O4" t="n">
        <v>3</v>
      </c>
      <c r="P4" t="inlineStr">
        <is>
          <t>closed</t>
        </is>
      </c>
      <c r="Q4" t="inlineStr">
        <is>
          <t>06/19/2023</t>
        </is>
      </c>
      <c r="R4" t="inlineStr">
        <is>
          <t>Building - Property - Property Damages</t>
        </is>
      </c>
      <c r="S4" t="n">
        <v>0</v>
      </c>
      <c r="T4" t="n">
        <v>21352</v>
      </c>
      <c r="U4" t="n">
        <v>21352</v>
      </c>
      <c r="V4" t="n">
        <v>0</v>
      </c>
      <c r="W4" t="n">
        <v>0</v>
      </c>
      <c r="X4" t="n">
        <v>21352</v>
      </c>
      <c r="Y4" t="n">
        <v>0</v>
      </c>
      <c r="Z4" t="n">
        <v>0</v>
      </c>
      <c r="AA4" t="n">
        <v>0</v>
      </c>
      <c r="AB4" t="n">
        <v>0</v>
      </c>
      <c r="AC4" t="n">
        <v>0</v>
      </c>
      <c r="AE4" t="inlineStr">
        <is>
          <t>Water Damage</t>
        </is>
      </c>
      <c r="AF4" t="inlineStr">
        <is>
          <t>Drain/Water Backup-Above</t>
        </is>
      </c>
      <c r="AG4" t="inlineStr">
        <is>
          <t>Parking Lot</t>
        </is>
      </c>
      <c r="AL4" t="inlineStr"/>
      <c r="AM4" t="inlineStr">
        <is>
          <t> </t>
        </is>
      </c>
      <c r="AN4" t="inlineStr">
        <is>
          <t>Saturday</t>
        </is>
      </c>
      <c r="AO4" t="inlineStr">
        <is>
          <t> </t>
        </is>
      </c>
      <c r="AW4" t="inlineStr">
        <is>
          <t>MUNRO, NATHAN</t>
        </is>
      </c>
      <c r="AX4" t="inlineStr">
        <is>
          <t>ODS-H351942-02</t>
        </is>
      </c>
      <c r="AY4" t="n">
        <v>2022</v>
      </c>
      <c r="AZ4" t="inlineStr">
        <is>
          <t>85-0038646301</t>
        </is>
      </c>
      <c r="BA4" t="n">
        <v>21352</v>
      </c>
      <c r="BB4" t="inlineStr">
        <is>
          <t>Below threshold</t>
        </is>
      </c>
      <c r="BC4" t="n">
        <v>1</v>
      </c>
    </row>
    <row r="5">
      <c r="A5" t="inlineStr">
        <is>
          <t>1521802738</t>
        </is>
      </c>
      <c r="B5" t="inlineStr">
        <is>
          <t>PITCO FOODS LLC</t>
        </is>
      </c>
      <c r="C5" t="inlineStr">
        <is>
          <t>85-00021868</t>
        </is>
      </c>
      <c r="D5" t="inlineStr">
        <is>
          <t>01</t>
        </is>
      </c>
      <c r="E5" t="inlineStr">
        <is>
          <t>PITCO FOODS LLC,C/O WILLIAM MC</t>
        </is>
      </c>
      <c r="F5" t="inlineStr">
        <is>
          <t>1501 South Blvd, Charlotte, NC</t>
        </is>
      </c>
      <c r="G5" t="inlineStr">
        <is>
          <t>NC</t>
        </is>
      </c>
      <c r="H5" t="inlineStr">
        <is>
          <t>ODS</t>
        </is>
      </c>
      <c r="I5" t="inlineStr">
        <is>
          <t>H351942</t>
        </is>
      </c>
      <c r="J5" t="inlineStr">
        <is>
          <t>01</t>
        </is>
      </c>
      <c r="K5" t="inlineStr">
        <is>
          <t>08/16/2021</t>
        </is>
      </c>
      <c r="L5" t="inlineStr">
        <is>
          <t>08/16/2022</t>
        </is>
      </c>
      <c r="M5" t="inlineStr">
        <is>
          <t>10/26/2021</t>
        </is>
      </c>
      <c r="N5" t="inlineStr">
        <is>
          <t>10/26/2021</t>
        </is>
      </c>
      <c r="O5" t="n">
        <v>0</v>
      </c>
      <c r="P5" t="inlineStr">
        <is>
          <t>closed</t>
        </is>
      </c>
      <c r="Q5" t="inlineStr">
        <is>
          <t>05/09/2022</t>
        </is>
      </c>
      <c r="R5" t="inlineStr">
        <is>
          <t>Building - Property - Property Damages</t>
        </is>
      </c>
      <c r="S5" t="n">
        <v>0</v>
      </c>
      <c r="T5" t="n">
        <v>0</v>
      </c>
      <c r="U5" t="n">
        <v>0</v>
      </c>
      <c r="V5" t="n">
        <v>0</v>
      </c>
      <c r="W5" t="n">
        <v>0</v>
      </c>
      <c r="X5" t="n">
        <v>0</v>
      </c>
      <c r="Y5" t="n">
        <v>0</v>
      </c>
      <c r="Z5" t="n">
        <v>0</v>
      </c>
      <c r="AA5" t="n">
        <v>0</v>
      </c>
      <c r="AB5" t="n">
        <v>0</v>
      </c>
      <c r="AC5" t="n">
        <v>0</v>
      </c>
      <c r="AE5" t="inlineStr">
        <is>
          <t>Vandalism</t>
        </is>
      </c>
      <c r="AF5" t="inlineStr">
        <is>
          <t>Glass Breakage</t>
        </is>
      </c>
      <c r="AG5" t="inlineStr">
        <is>
          <t>Misc Items</t>
        </is>
      </c>
      <c r="AL5" t="inlineStr"/>
      <c r="AM5" t="inlineStr">
        <is>
          <t> </t>
        </is>
      </c>
      <c r="AN5" t="inlineStr">
        <is>
          <t>Tuesday</t>
        </is>
      </c>
      <c r="AO5" t="inlineStr">
        <is>
          <t> </t>
        </is>
      </c>
      <c r="AW5" t="inlineStr">
        <is>
          <t>DYLEWICZ, ANDREW</t>
        </is>
      </c>
      <c r="AX5" t="inlineStr">
        <is>
          <t>ODS-H351942-01</t>
        </is>
      </c>
      <c r="AY5" t="n">
        <v>2021</v>
      </c>
      <c r="AZ5" t="inlineStr">
        <is>
          <t>85-0002186801</t>
        </is>
      </c>
      <c r="BA5" t="n">
        <v>0</v>
      </c>
      <c r="BB5" t="inlineStr">
        <is>
          <t>Below threshold</t>
        </is>
      </c>
      <c r="BC5" t="n">
        <v>1</v>
      </c>
    </row>
    <row r="6">
      <c r="A6" t="inlineStr">
        <is>
          <t>1521802738</t>
        </is>
      </c>
      <c r="B6" t="inlineStr">
        <is>
          <t>PITCO FOODS LLC</t>
        </is>
      </c>
      <c r="C6" t="inlineStr">
        <is>
          <t>85-00527809</t>
        </is>
      </c>
      <c r="D6" t="inlineStr">
        <is>
          <t>01</t>
        </is>
      </c>
      <c r="E6" t="inlineStr">
        <is>
          <t>PITCO FOODS LLC,C/O WILLIAM MC</t>
        </is>
      </c>
      <c r="F6" t="inlineStr">
        <is>
          <t>4910 Baum Blvd, Pittsburgh, PA</t>
        </is>
      </c>
      <c r="G6" t="inlineStr">
        <is>
          <t>PA</t>
        </is>
      </c>
      <c r="H6" t="inlineStr">
        <is>
          <t>ODS</t>
        </is>
      </c>
      <c r="I6" t="inlineStr">
        <is>
          <t>H351942</t>
        </is>
      </c>
      <c r="J6" t="inlineStr">
        <is>
          <t>03</t>
        </is>
      </c>
      <c r="K6" t="inlineStr">
        <is>
          <t>08/16/2023</t>
        </is>
      </c>
      <c r="L6" t="inlineStr">
        <is>
          <t>08/16/2024</t>
        </is>
      </c>
      <c r="M6" t="inlineStr">
        <is>
          <t>11/23/2023</t>
        </is>
      </c>
      <c r="N6" t="inlineStr">
        <is>
          <t>01/05/2024</t>
        </is>
      </c>
      <c r="O6" t="n">
        <v>43</v>
      </c>
      <c r="P6" t="inlineStr">
        <is>
          <t>closed</t>
        </is>
      </c>
      <c r="Q6" t="inlineStr">
        <is>
          <t>02/06/2024</t>
        </is>
      </c>
      <c r="R6" t="inlineStr">
        <is>
          <t>Personal Property - Personal Property Damages</t>
        </is>
      </c>
      <c r="S6" t="n">
        <v>0</v>
      </c>
      <c r="T6" t="n">
        <v>0</v>
      </c>
      <c r="U6" t="n">
        <v>0</v>
      </c>
      <c r="V6" t="n">
        <v>0</v>
      </c>
      <c r="W6" t="n">
        <v>0</v>
      </c>
      <c r="X6" t="n">
        <v>0</v>
      </c>
      <c r="Y6" t="n">
        <v>0</v>
      </c>
      <c r="Z6" t="n">
        <v>0</v>
      </c>
      <c r="AA6" t="n">
        <v>0</v>
      </c>
      <c r="AB6" t="n">
        <v>0</v>
      </c>
      <c r="AC6" t="n">
        <v>0</v>
      </c>
      <c r="AE6" t="inlineStr">
        <is>
          <t>Vehicle Damage</t>
        </is>
      </c>
      <c r="AF6" t="inlineStr">
        <is>
          <t>Collision</t>
        </is>
      </c>
      <c r="AG6" t="inlineStr">
        <is>
          <t>Pole/Landscaping</t>
        </is>
      </c>
      <c r="AL6" t="inlineStr"/>
      <c r="AM6" t="inlineStr">
        <is>
          <t> </t>
        </is>
      </c>
      <c r="AN6" t="inlineStr">
        <is>
          <t>Thursday</t>
        </is>
      </c>
      <c r="AO6" t="inlineStr">
        <is>
          <t> </t>
        </is>
      </c>
      <c r="AW6" t="inlineStr">
        <is>
          <t>BARNES, WILLIAM</t>
        </is>
      </c>
      <c r="AX6" t="inlineStr">
        <is>
          <t>ODS-H351942-03</t>
        </is>
      </c>
      <c r="AY6" t="n">
        <v>2023</v>
      </c>
      <c r="AZ6" t="inlineStr">
        <is>
          <t>85-0052780901</t>
        </is>
      </c>
      <c r="BA6" t="n">
        <v>0</v>
      </c>
      <c r="BB6" t="inlineStr">
        <is>
          <t>Below threshold</t>
        </is>
      </c>
      <c r="BC6" t="n">
        <v>1</v>
      </c>
    </row>
    <row r="7">
      <c r="A7" t="inlineStr">
        <is>
          <t>1521802738</t>
        </is>
      </c>
      <c r="B7" t="inlineStr">
        <is>
          <t>PITCO FOODS LLC</t>
        </is>
      </c>
      <c r="C7" t="inlineStr">
        <is>
          <t>85-00294492</t>
        </is>
      </c>
      <c r="D7" t="inlineStr">
        <is>
          <t>01</t>
        </is>
      </c>
      <c r="E7" t="inlineStr">
        <is>
          <t>PITCO FOODS LLC,C/O WILLIAM MC</t>
        </is>
      </c>
      <c r="F7" t="inlineStr">
        <is>
          <t>1020 Riverside Dr, Franklin, TN</t>
        </is>
      </c>
      <c r="G7" t="inlineStr">
        <is>
          <t>TN</t>
        </is>
      </c>
      <c r="H7" t="inlineStr">
        <is>
          <t>ODS</t>
        </is>
      </c>
      <c r="I7" t="inlineStr">
        <is>
          <t>H351942</t>
        </is>
      </c>
      <c r="J7" t="inlineStr">
        <is>
          <t>02</t>
        </is>
      </c>
      <c r="K7" t="inlineStr">
        <is>
          <t>08/16/2022</t>
        </is>
      </c>
      <c r="L7" t="inlineStr">
        <is>
          <t>08/16/2023</t>
        </is>
      </c>
      <c r="M7" t="inlineStr">
        <is>
          <t>12/25/2022</t>
        </is>
      </c>
      <c r="N7" t="inlineStr">
        <is>
          <t>01/04/2023</t>
        </is>
      </c>
      <c r="O7" t="n">
        <v>10</v>
      </c>
      <c r="P7" t="inlineStr">
        <is>
          <t>closed</t>
        </is>
      </c>
      <c r="Q7" t="inlineStr">
        <is>
          <t>01/16/2023</t>
        </is>
      </c>
      <c r="R7" t="inlineStr">
        <is>
          <t>Business Income - Loss of Use</t>
        </is>
      </c>
      <c r="S7" t="n">
        <v>0</v>
      </c>
      <c r="T7" t="n">
        <v>0</v>
      </c>
      <c r="U7" t="n">
        <v>0</v>
      </c>
      <c r="V7" t="n">
        <v>0</v>
      </c>
      <c r="W7" t="n">
        <v>0</v>
      </c>
      <c r="X7" t="n">
        <v>0</v>
      </c>
      <c r="Y7" t="n">
        <v>0</v>
      </c>
      <c r="Z7" t="n">
        <v>0</v>
      </c>
      <c r="AA7" t="n">
        <v>0</v>
      </c>
      <c r="AB7" t="n">
        <v>0</v>
      </c>
      <c r="AC7" t="n">
        <v>0</v>
      </c>
      <c r="AE7" t="inlineStr">
        <is>
          <t>Water Damage</t>
        </is>
      </c>
      <c r="AF7" t="inlineStr">
        <is>
          <t>Freezing</t>
        </is>
      </c>
      <c r="AG7" t="inlineStr">
        <is>
          <t>Pipe Break</t>
        </is>
      </c>
      <c r="AL7" t="inlineStr"/>
      <c r="AM7" t="inlineStr">
        <is>
          <t> </t>
        </is>
      </c>
      <c r="AN7" t="inlineStr">
        <is>
          <t>Sunday</t>
        </is>
      </c>
      <c r="AO7" t="inlineStr">
        <is>
          <t> </t>
        </is>
      </c>
      <c r="AW7" t="inlineStr">
        <is>
          <t>YOUNG, LENDA</t>
        </is>
      </c>
      <c r="AX7" t="inlineStr">
        <is>
          <t>ODS-H351942-02</t>
        </is>
      </c>
      <c r="AY7" t="n">
        <v>2022</v>
      </c>
      <c r="AZ7" t="inlineStr">
        <is>
          <t>85-0029449201</t>
        </is>
      </c>
      <c r="BA7" t="n">
        <v>0</v>
      </c>
      <c r="BB7" t="inlineStr">
        <is>
          <t>Below threshold</t>
        </is>
      </c>
      <c r="BC7" t="n">
        <v>1</v>
      </c>
    </row>
    <row r="8">
      <c r="A8" t="inlineStr">
        <is>
          <t>1521802738</t>
        </is>
      </c>
      <c r="B8" t="inlineStr">
        <is>
          <t>PITCO FOODS LLC</t>
        </is>
      </c>
      <c r="C8" t="inlineStr">
        <is>
          <t>85-00199983</t>
        </is>
      </c>
      <c r="D8" t="inlineStr">
        <is>
          <t>01</t>
        </is>
      </c>
      <c r="E8" t="inlineStr">
        <is>
          <t>PITCO FOODS LLC,C/O WILLIAM MC</t>
        </is>
      </c>
      <c r="F8" t="inlineStr">
        <is>
          <t>4910 Baum Blvd, Pittsburgh, PA</t>
        </is>
      </c>
      <c r="G8" t="inlineStr">
        <is>
          <t>PA</t>
        </is>
      </c>
      <c r="H8" t="inlineStr">
        <is>
          <t>ODS</t>
        </is>
      </c>
      <c r="I8" t="inlineStr">
        <is>
          <t>H351942</t>
        </is>
      </c>
      <c r="J8" t="inlineStr">
        <is>
          <t>01</t>
        </is>
      </c>
      <c r="K8" t="inlineStr">
        <is>
          <t>08/16/2021</t>
        </is>
      </c>
      <c r="L8" t="inlineStr">
        <is>
          <t>08/16/2022</t>
        </is>
      </c>
      <c r="M8" t="inlineStr">
        <is>
          <t>08/02/2022</t>
        </is>
      </c>
      <c r="N8" t="inlineStr">
        <is>
          <t>08/09/2022</t>
        </is>
      </c>
      <c r="O8" t="n">
        <v>7</v>
      </c>
      <c r="P8" t="inlineStr">
        <is>
          <t>closed</t>
        </is>
      </c>
      <c r="Q8" t="inlineStr">
        <is>
          <t>08/15/2022</t>
        </is>
      </c>
      <c r="R8" t="inlineStr">
        <is>
          <t>Premises/Operations-Products/Completed Operations-Hired and NonOwned-Property Damage</t>
        </is>
      </c>
      <c r="S8" t="n">
        <v>0</v>
      </c>
      <c r="T8" t="n">
        <v>0</v>
      </c>
      <c r="U8" t="n">
        <v>0</v>
      </c>
      <c r="V8" t="n">
        <v>0</v>
      </c>
      <c r="W8" t="n">
        <v>0</v>
      </c>
      <c r="X8" t="n">
        <v>0</v>
      </c>
      <c r="Y8" t="n">
        <v>0</v>
      </c>
      <c r="Z8" t="n">
        <v>0</v>
      </c>
      <c r="AA8" t="n">
        <v>0</v>
      </c>
      <c r="AB8" t="n">
        <v>0</v>
      </c>
      <c r="AC8" t="n">
        <v>0</v>
      </c>
      <c r="AE8" t="inlineStr">
        <is>
          <t>Vehicle Damage</t>
        </is>
      </c>
      <c r="AF8" t="inlineStr">
        <is>
          <t>Collision</t>
        </is>
      </c>
      <c r="AG8" t="inlineStr">
        <is>
          <t>Motor Vehicle Accident</t>
        </is>
      </c>
      <c r="AL8" t="inlineStr"/>
      <c r="AM8" t="inlineStr">
        <is>
          <t> </t>
        </is>
      </c>
      <c r="AN8" t="inlineStr">
        <is>
          <t>Tuesday</t>
        </is>
      </c>
      <c r="AO8" t="inlineStr">
        <is>
          <t> </t>
        </is>
      </c>
      <c r="AW8" t="inlineStr">
        <is>
          <t>GIBBONS, RYAN</t>
        </is>
      </c>
      <c r="AX8" t="inlineStr">
        <is>
          <t>ODS-H351942-01</t>
        </is>
      </c>
      <c r="AY8" t="n">
        <v>2021</v>
      </c>
      <c r="AZ8" t="inlineStr">
        <is>
          <t>85-0019998301</t>
        </is>
      </c>
      <c r="BA8" t="n">
        <v>0</v>
      </c>
      <c r="BB8" t="inlineStr">
        <is>
          <t>Below threshold</t>
        </is>
      </c>
      <c r="BC8" t="n">
        <v>1</v>
      </c>
    </row>
    <row r="9">
      <c r="A9" t="inlineStr">
        <is>
          <t>1521802738</t>
        </is>
      </c>
      <c r="B9" t="inlineStr">
        <is>
          <t>PITCO FOODS LLC</t>
        </is>
      </c>
      <c r="C9" t="inlineStr">
        <is>
          <t>85-00192294</t>
        </is>
      </c>
      <c r="D9" t="inlineStr">
        <is>
          <t>01</t>
        </is>
      </c>
      <c r="E9" t="inlineStr">
        <is>
          <t>PITCO FOODS LLC,C/O WILLIAM MC</t>
        </is>
      </c>
      <c r="F9" t="inlineStr">
        <is>
          <t>979 GreenTree Road, Pittsburgh, PA</t>
        </is>
      </c>
      <c r="G9" t="inlineStr">
        <is>
          <t>PA</t>
        </is>
      </c>
      <c r="H9" t="inlineStr">
        <is>
          <t>ODS</t>
        </is>
      </c>
      <c r="I9" t="inlineStr">
        <is>
          <t>H351942</t>
        </is>
      </c>
      <c r="J9" t="inlineStr">
        <is>
          <t>01</t>
        </is>
      </c>
      <c r="K9" t="inlineStr">
        <is>
          <t>08/16/2021</t>
        </is>
      </c>
      <c r="L9" t="inlineStr">
        <is>
          <t>08/16/2022</t>
        </is>
      </c>
      <c r="M9" t="inlineStr">
        <is>
          <t>07/23/2022</t>
        </is>
      </c>
      <c r="N9" t="inlineStr">
        <is>
          <t>07/28/2022</t>
        </is>
      </c>
      <c r="O9" t="n">
        <v>5</v>
      </c>
      <c r="P9" t="inlineStr">
        <is>
          <t>closed</t>
        </is>
      </c>
      <c r="Q9" t="inlineStr">
        <is>
          <t>08/05/2022</t>
        </is>
      </c>
      <c r="R9" t="inlineStr">
        <is>
          <t>Building - Property - Property Damages</t>
        </is>
      </c>
      <c r="S9" t="n">
        <v>0</v>
      </c>
      <c r="T9" t="n">
        <v>2391.35</v>
      </c>
      <c r="U9" t="n">
        <v>2391.35</v>
      </c>
      <c r="V9" t="n">
        <v>0</v>
      </c>
      <c r="W9" t="n">
        <v>682.9</v>
      </c>
      <c r="X9" t="n">
        <v>3074.25</v>
      </c>
      <c r="Y9" t="n">
        <v>0</v>
      </c>
      <c r="Z9" t="n">
        <v>0</v>
      </c>
      <c r="AA9" t="n">
        <v>0</v>
      </c>
      <c r="AB9" t="n">
        <v>0</v>
      </c>
      <c r="AC9" t="n">
        <v>0</v>
      </c>
      <c r="AE9" t="inlineStr">
        <is>
          <t>Windstorm/Hail</t>
        </is>
      </c>
      <c r="AF9" t="inlineStr">
        <is>
          <t>Wind</t>
        </is>
      </c>
      <c r="AG9" t="inlineStr">
        <is>
          <t>Awning</t>
        </is>
      </c>
      <c r="AL9" t="inlineStr"/>
      <c r="AM9" t="inlineStr">
        <is>
          <t> </t>
        </is>
      </c>
      <c r="AN9" t="inlineStr">
        <is>
          <t>Saturday</t>
        </is>
      </c>
      <c r="AO9" t="inlineStr">
        <is>
          <t> </t>
        </is>
      </c>
      <c r="AW9" t="inlineStr">
        <is>
          <t>TOLSON, WYATT</t>
        </is>
      </c>
      <c r="AX9" t="inlineStr">
        <is>
          <t>ODS-H351942-01</t>
        </is>
      </c>
      <c r="AY9" t="n">
        <v>2021</v>
      </c>
      <c r="AZ9" t="inlineStr">
        <is>
          <t>85-0019229401</t>
        </is>
      </c>
      <c r="BA9" t="n">
        <v>2391.35</v>
      </c>
      <c r="BB9" t="inlineStr">
        <is>
          <t>Below threshold</t>
        </is>
      </c>
      <c r="BC9" t="n">
        <v>1</v>
      </c>
    </row>
    <row r="10">
      <c r="A10" t="inlineStr">
        <is>
          <t>1521802738</t>
        </is>
      </c>
      <c r="B10" t="inlineStr">
        <is>
          <t>PITCO FOODS LLC</t>
        </is>
      </c>
      <c r="C10" t="inlineStr">
        <is>
          <t>85-00711493</t>
        </is>
      </c>
      <c r="D10" t="inlineStr">
        <is>
          <t>02</t>
        </is>
      </c>
      <c r="E10" t="inlineStr">
        <is>
          <t>Hovey, Nancy</t>
        </is>
      </c>
      <c r="F10" t="inlineStr">
        <is>
          <t>1020 Riverside Dr, Franklin, TN</t>
        </is>
      </c>
      <c r="G10" t="inlineStr">
        <is>
          <t>TN</t>
        </is>
      </c>
      <c r="H10" t="inlineStr">
        <is>
          <t>ODS</t>
        </is>
      </c>
      <c r="I10" t="inlineStr">
        <is>
          <t>H351942</t>
        </is>
      </c>
      <c r="J10" t="inlineStr">
        <is>
          <t>04</t>
        </is>
      </c>
      <c r="K10" t="inlineStr">
        <is>
          <t>08/16/2024</t>
        </is>
      </c>
      <c r="L10" t="inlineStr">
        <is>
          <t>08/16/2025</t>
        </is>
      </c>
      <c r="M10" t="inlineStr">
        <is>
          <t>11/08/2024</t>
        </is>
      </c>
      <c r="N10" t="inlineStr">
        <is>
          <t>12/10/2024</t>
        </is>
      </c>
      <c r="O10" t="n">
        <v>32</v>
      </c>
      <c r="P10" t="inlineStr">
        <is>
          <t>open</t>
        </is>
      </c>
      <c r="R10" t="inlineStr">
        <is>
          <t>Premises/Operations-Products/Completed Operations-Hired and NonOwned-MedPay</t>
        </is>
      </c>
      <c r="S10" t="n">
        <v>650.9</v>
      </c>
      <c r="T10" t="n">
        <v>6349.1</v>
      </c>
      <c r="U10" t="n">
        <v>7000</v>
      </c>
      <c r="V10" t="n">
        <v>0</v>
      </c>
      <c r="W10" t="n">
        <v>0</v>
      </c>
      <c r="X10" t="n">
        <v>7000</v>
      </c>
      <c r="Y10" t="n">
        <v>0</v>
      </c>
      <c r="Z10" t="n">
        <v>0</v>
      </c>
      <c r="AA10" t="n">
        <v>0</v>
      </c>
      <c r="AB10" t="n">
        <v>0</v>
      </c>
      <c r="AC10" t="n">
        <v>0</v>
      </c>
      <c r="AE10" t="inlineStr">
        <is>
          <t>Slip/Trip-Fall</t>
        </is>
      </c>
      <c r="AF10" t="inlineStr">
        <is>
          <t>Fall in Building</t>
        </is>
      </c>
      <c r="AG10" t="inlineStr">
        <is>
          <t>Personal Injury</t>
        </is>
      </c>
      <c r="AL10" t="inlineStr"/>
      <c r="AM10" t="inlineStr">
        <is>
          <t> </t>
        </is>
      </c>
      <c r="AN10" t="inlineStr">
        <is>
          <t>Friday</t>
        </is>
      </c>
      <c r="AO10" t="inlineStr">
        <is>
          <t> </t>
        </is>
      </c>
      <c r="AW10" t="inlineStr">
        <is>
          <t>BIEBER, HANNAH</t>
        </is>
      </c>
      <c r="AX10" t="inlineStr">
        <is>
          <t>ODS-H351942-04</t>
        </is>
      </c>
      <c r="AY10" t="n">
        <v>2024</v>
      </c>
      <c r="AZ10" t="inlineStr">
        <is>
          <t>85-0071149302</t>
        </is>
      </c>
      <c r="BA10" t="n">
        <v>7000</v>
      </c>
      <c r="BB10" t="inlineStr">
        <is>
          <t>Below threshold</t>
        </is>
      </c>
      <c r="BC10" t="n">
        <v>0</v>
      </c>
    </row>
    <row r="11">
      <c r="A11" t="inlineStr">
        <is>
          <t>1521802738</t>
        </is>
      </c>
      <c r="B11" t="inlineStr">
        <is>
          <t>PITCO FOODS LLC</t>
        </is>
      </c>
      <c r="C11" t="inlineStr">
        <is>
          <t>85-00804343</t>
        </is>
      </c>
      <c r="D11" t="inlineStr">
        <is>
          <t>01</t>
        </is>
      </c>
      <c r="E11" t="inlineStr">
        <is>
          <t>PITCO FOODS LLC,C/O WILLIAM MC</t>
        </is>
      </c>
      <c r="F11" t="inlineStr">
        <is>
          <t>4910 Baum Blvd, Pittsburgh, PA</t>
        </is>
      </c>
      <c r="G11" t="inlineStr">
        <is>
          <t>PA</t>
        </is>
      </c>
      <c r="H11" t="inlineStr">
        <is>
          <t>ODS</t>
        </is>
      </c>
      <c r="I11" t="inlineStr">
        <is>
          <t>H351942</t>
        </is>
      </c>
      <c r="J11" t="inlineStr">
        <is>
          <t>04</t>
        </is>
      </c>
      <c r="K11" t="inlineStr">
        <is>
          <t>08/16/2024</t>
        </is>
      </c>
      <c r="L11" t="inlineStr">
        <is>
          <t>08/16/2025</t>
        </is>
      </c>
      <c r="M11" t="inlineStr">
        <is>
          <t>06/16/2025</t>
        </is>
      </c>
      <c r="N11" t="inlineStr">
        <is>
          <t>06/24/2025</t>
        </is>
      </c>
      <c r="O11" t="n">
        <v>8</v>
      </c>
      <c r="P11" t="inlineStr">
        <is>
          <t>closed</t>
        </is>
      </c>
      <c r="Q11" t="inlineStr">
        <is>
          <t>07/21/2025</t>
        </is>
      </c>
      <c r="R11" t="inlineStr">
        <is>
          <t>Personal Property - Personal Property Damages</t>
        </is>
      </c>
      <c r="S11" t="n">
        <v>0</v>
      </c>
      <c r="T11" t="n">
        <v>0</v>
      </c>
      <c r="U11" t="n">
        <v>0</v>
      </c>
      <c r="V11" t="n">
        <v>0</v>
      </c>
      <c r="W11" t="n">
        <v>0</v>
      </c>
      <c r="X11" t="n">
        <v>0</v>
      </c>
      <c r="Y11" t="n">
        <v>0</v>
      </c>
      <c r="Z11" t="n">
        <v>0</v>
      </c>
      <c r="AA11" t="n">
        <v>0</v>
      </c>
      <c r="AB11" t="n">
        <v>0</v>
      </c>
      <c r="AC11" t="n">
        <v>0</v>
      </c>
      <c r="AE11" t="inlineStr">
        <is>
          <t>Water Damage</t>
        </is>
      </c>
      <c r="AF11" t="inlineStr">
        <is>
          <t>Drain/Water Backup-Above</t>
        </is>
      </c>
      <c r="AG11" t="inlineStr">
        <is>
          <t>Pipe Break</t>
        </is>
      </c>
      <c r="AL11" t="inlineStr"/>
      <c r="AM11" t="inlineStr">
        <is>
          <t> </t>
        </is>
      </c>
      <c r="AN11" t="inlineStr">
        <is>
          <t>Monday</t>
        </is>
      </c>
      <c r="AO11" t="inlineStr">
        <is>
          <t> </t>
        </is>
      </c>
      <c r="AW11" t="inlineStr">
        <is>
          <t>LEWIS, JENNIFER</t>
        </is>
      </c>
      <c r="AX11" t="inlineStr">
        <is>
          <t>ODS-H351942-04</t>
        </is>
      </c>
      <c r="AY11" t="n">
        <v>2024</v>
      </c>
      <c r="AZ11" t="inlineStr">
        <is>
          <t>85-0080434301</t>
        </is>
      </c>
      <c r="BA11" t="n">
        <v>0</v>
      </c>
      <c r="BB11" t="inlineStr">
        <is>
          <t>Below threshold</t>
        </is>
      </c>
      <c r="BC11" t="n">
        <v>1</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D2"/>
  <sheetViews>
    <sheetView workbookViewId="0">
      <selection activeCell="A2" sqref="A2"/>
    </sheetView>
  </sheetViews>
  <sheetFormatPr baseColWidth="8" defaultColWidth="8.85546875"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width="24" bestFit="1" customWidth="1" style="31" min="54" max="54"/>
    <col width="15.85546875" bestFit="1" customWidth="1" style="31" min="55" max="55"/>
    <col width="23" bestFit="1" customWidth="1" style="31" min="56" max="56"/>
    <col width="8.85546875" customWidth="1" style="31" min="57" max="16384"/>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Cause Of Loss</t>
        </is>
      </c>
      <c r="T1" t="inlineStr">
        <is>
          <t>Description of Loss</t>
        </is>
      </c>
      <c r="U1" t="inlineStr">
        <is>
          <t>Contributing Factor</t>
        </is>
      </c>
      <c r="V1" t="inlineStr">
        <is>
          <t>Product</t>
        </is>
      </c>
      <c r="W1" t="inlineStr">
        <is>
          <t>Manufacturer</t>
        </is>
      </c>
      <c r="X1" t="inlineStr">
        <is>
          <t>Policy Region Description</t>
        </is>
      </c>
      <c r="Y1" t="inlineStr">
        <is>
          <t>Policy Holder Retailer Desc</t>
        </is>
      </c>
      <c r="Z1" t="inlineStr">
        <is>
          <t>Policy Holder Claim Number</t>
        </is>
      </c>
      <c r="AA1" t="inlineStr">
        <is>
          <t>Occupation</t>
        </is>
      </c>
      <c r="AB1" t="inlineStr">
        <is>
          <t>Accident Day Of Week</t>
        </is>
      </c>
      <c r="AC1" t="inlineStr">
        <is>
          <t>Insured Driver</t>
        </is>
      </c>
      <c r="AD1" t="inlineStr">
        <is>
          <t>Total Loss Indicator</t>
        </is>
      </c>
      <c r="AE1" t="inlineStr">
        <is>
          <t>Vehicle Year</t>
        </is>
      </c>
      <c r="AF1" t="inlineStr">
        <is>
          <t>Vehicle Manufacturer</t>
        </is>
      </c>
      <c r="AG1" t="inlineStr">
        <is>
          <t>Vehicle Model</t>
        </is>
      </c>
      <c r="AH1" t="inlineStr">
        <is>
          <t>Vehicle ID Number</t>
        </is>
      </c>
      <c r="AI1" t="inlineStr">
        <is>
          <t>Vehicle License Plate</t>
        </is>
      </c>
      <c r="AJ1" t="inlineStr">
        <is>
          <t>Vehicle License State</t>
        </is>
      </c>
      <c r="AK1" t="inlineStr">
        <is>
          <t>Adjuster</t>
        </is>
      </c>
      <c r="AL1" t="inlineStr">
        <is>
          <t>Policy</t>
        </is>
      </c>
      <c r="AM1" t="inlineStr">
        <is>
          <t>Policy Year</t>
        </is>
      </c>
      <c r="AN1" t="inlineStr">
        <is>
          <t>Claim Feature Number</t>
        </is>
      </c>
      <c r="AO1" t="inlineStr">
        <is>
          <t>Distinct Claim Helper</t>
        </is>
      </c>
    </row>
    <row r="2">
      <c r="A2" t="inlineStr">
        <is>
          <t>No Records Only</t>
        </is>
      </c>
      <c r="K2" s="24" t="n"/>
      <c r="L2" s="24" t="n"/>
      <c r="M2" s="24" t="n"/>
      <c r="N2" s="24" t="n"/>
      <c r="Q2" s="24" t="n"/>
      <c r="BC2" s="23"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D11"/>
  <sheetViews>
    <sheetView workbookViewId="0">
      <selection activeCell="A1" sqref="A1"/>
    </sheetView>
  </sheetViews>
  <sheetFormatPr baseColWidth="8" defaultRowHeight="15"/>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Record Only Indicator</t>
        </is>
      </c>
      <c r="AY1" t="inlineStr">
        <is>
          <t>Policy</t>
        </is>
      </c>
      <c r="AZ1" t="inlineStr">
        <is>
          <t>Policy Year</t>
        </is>
      </c>
      <c r="BA1" t="inlineStr">
        <is>
          <t>Meets review threshold</t>
        </is>
      </c>
      <c r="BB1" t="inlineStr">
        <is>
          <t>Claim Feature Number</t>
        </is>
      </c>
      <c r="BC1" t="inlineStr">
        <is>
          <t>Total Incurred</t>
        </is>
      </c>
      <c r="BD1" t="inlineStr">
        <is>
          <t>Distinct Claim Helper</t>
        </is>
      </c>
    </row>
    <row r="2">
      <c r="A2" t="inlineStr">
        <is>
          <t>1521802738</t>
        </is>
      </c>
      <c r="B2" t="inlineStr">
        <is>
          <t>PITCO FOODS LLC</t>
        </is>
      </c>
      <c r="C2" t="inlineStr">
        <is>
          <t>85-00711493</t>
        </is>
      </c>
      <c r="D2" t="inlineStr">
        <is>
          <t>01</t>
        </is>
      </c>
      <c r="E2" t="inlineStr">
        <is>
          <t>Hovey, Nancy</t>
        </is>
      </c>
      <c r="F2" t="inlineStr">
        <is>
          <t>1020 Riverside Dr, Franklin, TN</t>
        </is>
      </c>
      <c r="G2" t="inlineStr">
        <is>
          <t>TN</t>
        </is>
      </c>
      <c r="H2" t="inlineStr">
        <is>
          <t>ODS</t>
        </is>
      </c>
      <c r="I2" t="inlineStr">
        <is>
          <t>H351942</t>
        </is>
      </c>
      <c r="J2" t="inlineStr">
        <is>
          <t>04</t>
        </is>
      </c>
      <c r="K2" t="inlineStr">
        <is>
          <t>08/16/2024</t>
        </is>
      </c>
      <c r="L2" t="inlineStr">
        <is>
          <t>08/16/2025</t>
        </is>
      </c>
      <c r="M2" t="inlineStr">
        <is>
          <t>11/08/2024</t>
        </is>
      </c>
      <c r="N2" t="inlineStr">
        <is>
          <t>12/10/2024</t>
        </is>
      </c>
      <c r="O2" t="n">
        <v>32</v>
      </c>
      <c r="P2" t="inlineStr">
        <is>
          <t>open</t>
        </is>
      </c>
      <c r="R2" t="inlineStr">
        <is>
          <t>Premises/Operations-Products/Completed Operations-Advertising and Personal Injury-Bodily Injury</t>
        </is>
      </c>
      <c r="S2" t="n">
        <v>4200</v>
      </c>
      <c r="T2" t="n">
        <v>0</v>
      </c>
      <c r="U2" t="n">
        <v>4200</v>
      </c>
      <c r="V2" t="n">
        <v>0</v>
      </c>
      <c r="W2" t="n">
        <v>0</v>
      </c>
      <c r="X2" t="n">
        <v>4200</v>
      </c>
      <c r="Y2" t="n">
        <v>0</v>
      </c>
      <c r="Z2" t="n">
        <v>0</v>
      </c>
      <c r="AA2" t="n">
        <v>0</v>
      </c>
      <c r="AB2" t="n">
        <v>0</v>
      </c>
      <c r="AC2" t="n">
        <v>0</v>
      </c>
      <c r="AE2" t="inlineStr">
        <is>
          <t>Slip/Trip-Fall</t>
        </is>
      </c>
      <c r="AF2" t="inlineStr">
        <is>
          <t>Fall in Building</t>
        </is>
      </c>
      <c r="AG2" t="inlineStr">
        <is>
          <t>Personal Injury</t>
        </is>
      </c>
      <c r="AL2" t="inlineStr"/>
      <c r="AM2" t="inlineStr">
        <is>
          <t> </t>
        </is>
      </c>
      <c r="AN2" t="inlineStr">
        <is>
          <t>Friday</t>
        </is>
      </c>
      <c r="AO2" t="inlineStr">
        <is>
          <t> </t>
        </is>
      </c>
      <c r="AW2" t="inlineStr">
        <is>
          <t>BIEBER, HANNAH</t>
        </is>
      </c>
      <c r="AY2" t="inlineStr">
        <is>
          <t>ODS-H351942-04</t>
        </is>
      </c>
      <c r="AZ2" t="n">
        <v>2024</v>
      </c>
      <c r="BA2" t="inlineStr">
        <is>
          <t>Below threshold</t>
        </is>
      </c>
      <c r="BB2" t="inlineStr">
        <is>
          <t>85-0071149301</t>
        </is>
      </c>
      <c r="BC2" t="n">
        <v>4200</v>
      </c>
      <c r="BD2" t="n">
        <v>1</v>
      </c>
    </row>
    <row r="3">
      <c r="A3" t="inlineStr">
        <is>
          <t>1521802738</t>
        </is>
      </c>
      <c r="B3" t="inlineStr">
        <is>
          <t>PITCO FOODS LLC</t>
        </is>
      </c>
      <c r="C3" t="inlineStr">
        <is>
          <t>85-00545064</t>
        </is>
      </c>
      <c r="D3" t="inlineStr">
        <is>
          <t>01</t>
        </is>
      </c>
      <c r="E3" t="inlineStr">
        <is>
          <t>PITCO FOODS LLC,C/O WILLIAM MC</t>
        </is>
      </c>
      <c r="F3" t="inlineStr">
        <is>
          <t>1020 Riverside Dr, Franklin, TN</t>
        </is>
      </c>
      <c r="G3" t="inlineStr">
        <is>
          <t>TN</t>
        </is>
      </c>
      <c r="H3" t="inlineStr">
        <is>
          <t>ODS</t>
        </is>
      </c>
      <c r="I3" t="inlineStr">
        <is>
          <t>H351942</t>
        </is>
      </c>
      <c r="J3" t="inlineStr">
        <is>
          <t>03</t>
        </is>
      </c>
      <c r="K3" t="inlineStr">
        <is>
          <t>08/16/2023</t>
        </is>
      </c>
      <c r="L3" t="inlineStr">
        <is>
          <t>08/16/2024</t>
        </is>
      </c>
      <c r="M3" t="inlineStr">
        <is>
          <t>01/14/2024</t>
        </is>
      </c>
      <c r="N3" t="inlineStr">
        <is>
          <t>02/02/2024</t>
        </is>
      </c>
      <c r="O3" t="n">
        <v>19</v>
      </c>
      <c r="P3" t="inlineStr">
        <is>
          <t>closed</t>
        </is>
      </c>
      <c r="Q3" t="inlineStr">
        <is>
          <t>02/07/2024</t>
        </is>
      </c>
      <c r="R3" t="inlineStr">
        <is>
          <t>Building - Property - Property Damages</t>
        </is>
      </c>
      <c r="S3" t="n">
        <v>0</v>
      </c>
      <c r="T3" t="n">
        <v>9346.17</v>
      </c>
      <c r="U3" t="n">
        <v>9346.17</v>
      </c>
      <c r="V3" t="n">
        <v>0</v>
      </c>
      <c r="W3" t="n">
        <v>0</v>
      </c>
      <c r="X3" t="n">
        <v>9346.17</v>
      </c>
      <c r="Y3" t="n">
        <v>0</v>
      </c>
      <c r="Z3" t="n">
        <v>0</v>
      </c>
      <c r="AA3" t="n">
        <v>0</v>
      </c>
      <c r="AB3" t="n">
        <v>0</v>
      </c>
      <c r="AC3" t="n">
        <v>0</v>
      </c>
      <c r="AE3" t="inlineStr">
        <is>
          <t>Water Damage</t>
        </is>
      </c>
      <c r="AF3" t="inlineStr">
        <is>
          <t>Freezing</t>
        </is>
      </c>
      <c r="AG3" t="inlineStr">
        <is>
          <t>Pipe Break</t>
        </is>
      </c>
      <c r="AL3" t="inlineStr"/>
      <c r="AM3" t="inlineStr">
        <is>
          <t> </t>
        </is>
      </c>
      <c r="AN3" t="inlineStr">
        <is>
          <t>Sunday</t>
        </is>
      </c>
      <c r="AO3" t="inlineStr">
        <is>
          <t> </t>
        </is>
      </c>
      <c r="AW3" t="inlineStr">
        <is>
          <t>GLEASON, KATHY</t>
        </is>
      </c>
      <c r="AY3" t="inlineStr">
        <is>
          <t>ODS-H351942-03</t>
        </is>
      </c>
      <c r="AZ3" t="n">
        <v>2023</v>
      </c>
      <c r="BA3" t="inlineStr">
        <is>
          <t>Below threshold</t>
        </is>
      </c>
      <c r="BB3" t="inlineStr">
        <is>
          <t>85-0054506401</t>
        </is>
      </c>
      <c r="BC3" t="n">
        <v>9346.17</v>
      </c>
      <c r="BD3" t="n">
        <v>1</v>
      </c>
    </row>
    <row r="4">
      <c r="A4" t="inlineStr">
        <is>
          <t>1521802738</t>
        </is>
      </c>
      <c r="B4" t="inlineStr">
        <is>
          <t>PITCO FOODS LLC</t>
        </is>
      </c>
      <c r="C4" t="inlineStr">
        <is>
          <t>85-00386463</t>
        </is>
      </c>
      <c r="D4" t="inlineStr">
        <is>
          <t>01</t>
        </is>
      </c>
      <c r="E4" t="inlineStr">
        <is>
          <t>PITCO FOODS LLC,C/O WILLIAM MC</t>
        </is>
      </c>
      <c r="F4" t="inlineStr">
        <is>
          <t>13736 Conlan Cir, Charlotte, NC</t>
        </is>
      </c>
      <c r="G4" t="inlineStr">
        <is>
          <t>NC</t>
        </is>
      </c>
      <c r="H4" t="inlineStr">
        <is>
          <t>ODS</t>
        </is>
      </c>
      <c r="I4" t="inlineStr">
        <is>
          <t>H351942</t>
        </is>
      </c>
      <c r="J4" t="inlineStr">
        <is>
          <t>02</t>
        </is>
      </c>
      <c r="K4" t="inlineStr">
        <is>
          <t>08/16/2022</t>
        </is>
      </c>
      <c r="L4" t="inlineStr">
        <is>
          <t>08/16/2023</t>
        </is>
      </c>
      <c r="M4" t="inlineStr">
        <is>
          <t>05/27/2023</t>
        </is>
      </c>
      <c r="N4" t="inlineStr">
        <is>
          <t>05/30/2023</t>
        </is>
      </c>
      <c r="O4" t="n">
        <v>3</v>
      </c>
      <c r="P4" t="inlineStr">
        <is>
          <t>closed</t>
        </is>
      </c>
      <c r="Q4" t="inlineStr">
        <is>
          <t>06/19/2023</t>
        </is>
      </c>
      <c r="R4" t="inlineStr">
        <is>
          <t>Building - Property - Property Damages</t>
        </is>
      </c>
      <c r="S4" t="n">
        <v>0</v>
      </c>
      <c r="T4" t="n">
        <v>21352</v>
      </c>
      <c r="U4" t="n">
        <v>21352</v>
      </c>
      <c r="V4" t="n">
        <v>0</v>
      </c>
      <c r="W4" t="n">
        <v>0</v>
      </c>
      <c r="X4" t="n">
        <v>21352</v>
      </c>
      <c r="Y4" t="n">
        <v>0</v>
      </c>
      <c r="Z4" t="n">
        <v>0</v>
      </c>
      <c r="AA4" t="n">
        <v>0</v>
      </c>
      <c r="AB4" t="n">
        <v>0</v>
      </c>
      <c r="AC4" t="n">
        <v>0</v>
      </c>
      <c r="AE4" t="inlineStr">
        <is>
          <t>Water Damage</t>
        </is>
      </c>
      <c r="AF4" t="inlineStr">
        <is>
          <t>Drain/Water Backup-Above</t>
        </is>
      </c>
      <c r="AG4" t="inlineStr">
        <is>
          <t>Parking Lot</t>
        </is>
      </c>
      <c r="AL4" t="inlineStr"/>
      <c r="AM4" t="inlineStr">
        <is>
          <t> </t>
        </is>
      </c>
      <c r="AN4" t="inlineStr">
        <is>
          <t>Saturday</t>
        </is>
      </c>
      <c r="AO4" t="inlineStr">
        <is>
          <t> </t>
        </is>
      </c>
      <c r="AW4" t="inlineStr">
        <is>
          <t>MUNRO, NATHAN</t>
        </is>
      </c>
      <c r="AY4" t="inlineStr">
        <is>
          <t>ODS-H351942-02</t>
        </is>
      </c>
      <c r="AZ4" t="n">
        <v>2022</v>
      </c>
      <c r="BA4" t="inlineStr">
        <is>
          <t>Below threshold</t>
        </is>
      </c>
      <c r="BB4" t="inlineStr">
        <is>
          <t>85-0038646301</t>
        </is>
      </c>
      <c r="BC4" t="n">
        <v>21352</v>
      </c>
      <c r="BD4" t="n">
        <v>1</v>
      </c>
    </row>
    <row r="5">
      <c r="A5" t="inlineStr">
        <is>
          <t>1521802738</t>
        </is>
      </c>
      <c r="B5" t="inlineStr">
        <is>
          <t>PITCO FOODS LLC</t>
        </is>
      </c>
      <c r="C5" t="inlineStr">
        <is>
          <t>85-00021868</t>
        </is>
      </c>
      <c r="D5" t="inlineStr">
        <is>
          <t>01</t>
        </is>
      </c>
      <c r="E5" t="inlineStr">
        <is>
          <t>PITCO FOODS LLC,C/O WILLIAM MC</t>
        </is>
      </c>
      <c r="F5" t="inlineStr">
        <is>
          <t>1501 South Blvd, Charlotte, NC</t>
        </is>
      </c>
      <c r="G5" t="inlineStr">
        <is>
          <t>NC</t>
        </is>
      </c>
      <c r="H5" t="inlineStr">
        <is>
          <t>ODS</t>
        </is>
      </c>
      <c r="I5" t="inlineStr">
        <is>
          <t>H351942</t>
        </is>
      </c>
      <c r="J5" t="inlineStr">
        <is>
          <t>01</t>
        </is>
      </c>
      <c r="K5" t="inlineStr">
        <is>
          <t>08/16/2021</t>
        </is>
      </c>
      <c r="L5" t="inlineStr">
        <is>
          <t>08/16/2022</t>
        </is>
      </c>
      <c r="M5" t="inlineStr">
        <is>
          <t>10/26/2021</t>
        </is>
      </c>
      <c r="N5" t="inlineStr">
        <is>
          <t>10/26/2021</t>
        </is>
      </c>
      <c r="O5" t="n">
        <v>0</v>
      </c>
      <c r="P5" t="inlineStr">
        <is>
          <t>closed</t>
        </is>
      </c>
      <c r="Q5" t="inlineStr">
        <is>
          <t>05/09/2022</t>
        </is>
      </c>
      <c r="R5" t="inlineStr">
        <is>
          <t>Building - Property - Property Damages</t>
        </is>
      </c>
      <c r="S5" t="n">
        <v>0</v>
      </c>
      <c r="T5" t="n">
        <v>0</v>
      </c>
      <c r="U5" t="n">
        <v>0</v>
      </c>
      <c r="V5" t="n">
        <v>0</v>
      </c>
      <c r="W5" t="n">
        <v>0</v>
      </c>
      <c r="X5" t="n">
        <v>0</v>
      </c>
      <c r="Y5" t="n">
        <v>0</v>
      </c>
      <c r="Z5" t="n">
        <v>0</v>
      </c>
      <c r="AA5" t="n">
        <v>0</v>
      </c>
      <c r="AB5" t="n">
        <v>0</v>
      </c>
      <c r="AC5" t="n">
        <v>0</v>
      </c>
      <c r="AE5" t="inlineStr">
        <is>
          <t>Vandalism</t>
        </is>
      </c>
      <c r="AF5" t="inlineStr">
        <is>
          <t>Glass Breakage</t>
        </is>
      </c>
      <c r="AG5" t="inlineStr">
        <is>
          <t>Misc Items</t>
        </is>
      </c>
      <c r="AL5" t="inlineStr"/>
      <c r="AM5" t="inlineStr">
        <is>
          <t> </t>
        </is>
      </c>
      <c r="AN5" t="inlineStr">
        <is>
          <t>Tuesday</t>
        </is>
      </c>
      <c r="AO5" t="inlineStr">
        <is>
          <t> </t>
        </is>
      </c>
      <c r="AW5" t="inlineStr">
        <is>
          <t>DYLEWICZ, ANDREW</t>
        </is>
      </c>
      <c r="AY5" t="inlineStr">
        <is>
          <t>ODS-H351942-01</t>
        </is>
      </c>
      <c r="AZ5" t="n">
        <v>2021</v>
      </c>
      <c r="BA5" t="inlineStr">
        <is>
          <t>Below threshold</t>
        </is>
      </c>
      <c r="BB5" t="inlineStr">
        <is>
          <t>85-0002186801</t>
        </is>
      </c>
      <c r="BC5" t="n">
        <v>0</v>
      </c>
      <c r="BD5" t="n">
        <v>1</v>
      </c>
    </row>
    <row r="6">
      <c r="A6" t="inlineStr">
        <is>
          <t>1521802738</t>
        </is>
      </c>
      <c r="B6" t="inlineStr">
        <is>
          <t>PITCO FOODS LLC</t>
        </is>
      </c>
      <c r="C6" t="inlineStr">
        <is>
          <t>85-00527809</t>
        </is>
      </c>
      <c r="D6" t="inlineStr">
        <is>
          <t>01</t>
        </is>
      </c>
      <c r="E6" t="inlineStr">
        <is>
          <t>PITCO FOODS LLC,C/O WILLIAM MC</t>
        </is>
      </c>
      <c r="F6" t="inlineStr">
        <is>
          <t>4910 Baum Blvd, Pittsburgh, PA</t>
        </is>
      </c>
      <c r="G6" t="inlineStr">
        <is>
          <t>PA</t>
        </is>
      </c>
      <c r="H6" t="inlineStr">
        <is>
          <t>ODS</t>
        </is>
      </c>
      <c r="I6" t="inlineStr">
        <is>
          <t>H351942</t>
        </is>
      </c>
      <c r="J6" t="inlineStr">
        <is>
          <t>03</t>
        </is>
      </c>
      <c r="K6" t="inlineStr">
        <is>
          <t>08/16/2023</t>
        </is>
      </c>
      <c r="L6" t="inlineStr">
        <is>
          <t>08/16/2024</t>
        </is>
      </c>
      <c r="M6" t="inlineStr">
        <is>
          <t>11/23/2023</t>
        </is>
      </c>
      <c r="N6" t="inlineStr">
        <is>
          <t>01/05/2024</t>
        </is>
      </c>
      <c r="O6" t="n">
        <v>43</v>
      </c>
      <c r="P6" t="inlineStr">
        <is>
          <t>closed</t>
        </is>
      </c>
      <c r="Q6" t="inlineStr">
        <is>
          <t>02/06/2024</t>
        </is>
      </c>
      <c r="R6" t="inlineStr">
        <is>
          <t>Personal Property - Personal Property Damages</t>
        </is>
      </c>
      <c r="S6" t="n">
        <v>0</v>
      </c>
      <c r="T6" t="n">
        <v>0</v>
      </c>
      <c r="U6" t="n">
        <v>0</v>
      </c>
      <c r="V6" t="n">
        <v>0</v>
      </c>
      <c r="W6" t="n">
        <v>0</v>
      </c>
      <c r="X6" t="n">
        <v>0</v>
      </c>
      <c r="Y6" t="n">
        <v>0</v>
      </c>
      <c r="Z6" t="n">
        <v>0</v>
      </c>
      <c r="AA6" t="n">
        <v>0</v>
      </c>
      <c r="AB6" t="n">
        <v>0</v>
      </c>
      <c r="AC6" t="n">
        <v>0</v>
      </c>
      <c r="AE6" t="inlineStr">
        <is>
          <t>Vehicle Damage</t>
        </is>
      </c>
      <c r="AF6" t="inlineStr">
        <is>
          <t>Collision</t>
        </is>
      </c>
      <c r="AG6" t="inlineStr">
        <is>
          <t>Pole/Landscaping</t>
        </is>
      </c>
      <c r="AL6" t="inlineStr"/>
      <c r="AM6" t="inlineStr">
        <is>
          <t> </t>
        </is>
      </c>
      <c r="AN6" t="inlineStr">
        <is>
          <t>Thursday</t>
        </is>
      </c>
      <c r="AO6" t="inlineStr">
        <is>
          <t> </t>
        </is>
      </c>
      <c r="AW6" t="inlineStr">
        <is>
          <t>BARNES, WILLIAM</t>
        </is>
      </c>
      <c r="AY6" t="inlineStr">
        <is>
          <t>ODS-H351942-03</t>
        </is>
      </c>
      <c r="AZ6" t="n">
        <v>2023</v>
      </c>
      <c r="BA6" t="inlineStr">
        <is>
          <t>Below threshold</t>
        </is>
      </c>
      <c r="BB6" t="inlineStr">
        <is>
          <t>85-0052780901</t>
        </is>
      </c>
      <c r="BC6" t="n">
        <v>0</v>
      </c>
      <c r="BD6" t="n">
        <v>1</v>
      </c>
    </row>
    <row r="7">
      <c r="A7" t="inlineStr">
        <is>
          <t>1521802738</t>
        </is>
      </c>
      <c r="B7" t="inlineStr">
        <is>
          <t>PITCO FOODS LLC</t>
        </is>
      </c>
      <c r="C7" t="inlineStr">
        <is>
          <t>85-00294492</t>
        </is>
      </c>
      <c r="D7" t="inlineStr">
        <is>
          <t>01</t>
        </is>
      </c>
      <c r="E7" t="inlineStr">
        <is>
          <t>PITCO FOODS LLC,C/O WILLIAM MC</t>
        </is>
      </c>
      <c r="F7" t="inlineStr">
        <is>
          <t>1020 Riverside Dr, Franklin, TN</t>
        </is>
      </c>
      <c r="G7" t="inlineStr">
        <is>
          <t>TN</t>
        </is>
      </c>
      <c r="H7" t="inlineStr">
        <is>
          <t>ODS</t>
        </is>
      </c>
      <c r="I7" t="inlineStr">
        <is>
          <t>H351942</t>
        </is>
      </c>
      <c r="J7" t="inlineStr">
        <is>
          <t>02</t>
        </is>
      </c>
      <c r="K7" t="inlineStr">
        <is>
          <t>08/16/2022</t>
        </is>
      </c>
      <c r="L7" t="inlineStr">
        <is>
          <t>08/16/2023</t>
        </is>
      </c>
      <c r="M7" t="inlineStr">
        <is>
          <t>12/25/2022</t>
        </is>
      </c>
      <c r="N7" t="inlineStr">
        <is>
          <t>01/04/2023</t>
        </is>
      </c>
      <c r="O7" t="n">
        <v>10</v>
      </c>
      <c r="P7" t="inlineStr">
        <is>
          <t>closed</t>
        </is>
      </c>
      <c r="Q7" t="inlineStr">
        <is>
          <t>01/16/2023</t>
        </is>
      </c>
      <c r="R7" t="inlineStr">
        <is>
          <t>Business Income - Loss of Use</t>
        </is>
      </c>
      <c r="S7" t="n">
        <v>0</v>
      </c>
      <c r="T7" t="n">
        <v>0</v>
      </c>
      <c r="U7" t="n">
        <v>0</v>
      </c>
      <c r="V7" t="n">
        <v>0</v>
      </c>
      <c r="W7" t="n">
        <v>0</v>
      </c>
      <c r="X7" t="n">
        <v>0</v>
      </c>
      <c r="Y7" t="n">
        <v>0</v>
      </c>
      <c r="Z7" t="n">
        <v>0</v>
      </c>
      <c r="AA7" t="n">
        <v>0</v>
      </c>
      <c r="AB7" t="n">
        <v>0</v>
      </c>
      <c r="AC7" t="n">
        <v>0</v>
      </c>
      <c r="AE7" t="inlineStr">
        <is>
          <t>Water Damage</t>
        </is>
      </c>
      <c r="AF7" t="inlineStr">
        <is>
          <t>Freezing</t>
        </is>
      </c>
      <c r="AG7" t="inlineStr">
        <is>
          <t>Pipe Break</t>
        </is>
      </c>
      <c r="AL7" t="inlineStr"/>
      <c r="AM7" t="inlineStr">
        <is>
          <t> </t>
        </is>
      </c>
      <c r="AN7" t="inlineStr">
        <is>
          <t>Sunday</t>
        </is>
      </c>
      <c r="AO7" t="inlineStr">
        <is>
          <t> </t>
        </is>
      </c>
      <c r="AW7" t="inlineStr">
        <is>
          <t>YOUNG, LENDA</t>
        </is>
      </c>
      <c r="AY7" t="inlineStr">
        <is>
          <t>ODS-H351942-02</t>
        </is>
      </c>
      <c r="AZ7" t="n">
        <v>2022</v>
      </c>
      <c r="BA7" t="inlineStr">
        <is>
          <t>Below threshold</t>
        </is>
      </c>
      <c r="BB7" t="inlineStr">
        <is>
          <t>85-0029449201</t>
        </is>
      </c>
      <c r="BC7" t="n">
        <v>0</v>
      </c>
      <c r="BD7" t="n">
        <v>1</v>
      </c>
    </row>
    <row r="8">
      <c r="A8" t="inlineStr">
        <is>
          <t>1521802738</t>
        </is>
      </c>
      <c r="B8" t="inlineStr">
        <is>
          <t>PITCO FOODS LLC</t>
        </is>
      </c>
      <c r="C8" t="inlineStr">
        <is>
          <t>85-00199983</t>
        </is>
      </c>
      <c r="D8" t="inlineStr">
        <is>
          <t>01</t>
        </is>
      </c>
      <c r="E8" t="inlineStr">
        <is>
          <t>PITCO FOODS LLC,C/O WILLIAM MC</t>
        </is>
      </c>
      <c r="F8" t="inlineStr">
        <is>
          <t>4910 Baum Blvd, Pittsburgh, PA</t>
        </is>
      </c>
      <c r="G8" t="inlineStr">
        <is>
          <t>PA</t>
        </is>
      </c>
      <c r="H8" t="inlineStr">
        <is>
          <t>ODS</t>
        </is>
      </c>
      <c r="I8" t="inlineStr">
        <is>
          <t>H351942</t>
        </is>
      </c>
      <c r="J8" t="inlineStr">
        <is>
          <t>01</t>
        </is>
      </c>
      <c r="K8" t="inlineStr">
        <is>
          <t>08/16/2021</t>
        </is>
      </c>
      <c r="L8" t="inlineStr">
        <is>
          <t>08/16/2022</t>
        </is>
      </c>
      <c r="M8" t="inlineStr">
        <is>
          <t>08/02/2022</t>
        </is>
      </c>
      <c r="N8" t="inlineStr">
        <is>
          <t>08/09/2022</t>
        </is>
      </c>
      <c r="O8" t="n">
        <v>7</v>
      </c>
      <c r="P8" t="inlineStr">
        <is>
          <t>closed</t>
        </is>
      </c>
      <c r="Q8" t="inlineStr">
        <is>
          <t>08/15/2022</t>
        </is>
      </c>
      <c r="R8" t="inlineStr">
        <is>
          <t>Premises/Operations-Products/Completed Operations-Hired and NonOwned-Property Damage</t>
        </is>
      </c>
      <c r="S8" t="n">
        <v>0</v>
      </c>
      <c r="T8" t="n">
        <v>0</v>
      </c>
      <c r="U8" t="n">
        <v>0</v>
      </c>
      <c r="V8" t="n">
        <v>0</v>
      </c>
      <c r="W8" t="n">
        <v>0</v>
      </c>
      <c r="X8" t="n">
        <v>0</v>
      </c>
      <c r="Y8" t="n">
        <v>0</v>
      </c>
      <c r="Z8" t="n">
        <v>0</v>
      </c>
      <c r="AA8" t="n">
        <v>0</v>
      </c>
      <c r="AB8" t="n">
        <v>0</v>
      </c>
      <c r="AC8" t="n">
        <v>0</v>
      </c>
      <c r="AE8" t="inlineStr">
        <is>
          <t>Vehicle Damage</t>
        </is>
      </c>
      <c r="AF8" t="inlineStr">
        <is>
          <t>Collision</t>
        </is>
      </c>
      <c r="AG8" t="inlineStr">
        <is>
          <t>Motor Vehicle Accident</t>
        </is>
      </c>
      <c r="AL8" t="inlineStr"/>
      <c r="AM8" t="inlineStr">
        <is>
          <t> </t>
        </is>
      </c>
      <c r="AN8" t="inlineStr">
        <is>
          <t>Tuesday</t>
        </is>
      </c>
      <c r="AO8" t="inlineStr">
        <is>
          <t> </t>
        </is>
      </c>
      <c r="AW8" t="inlineStr">
        <is>
          <t>GIBBONS, RYAN</t>
        </is>
      </c>
      <c r="AY8" t="inlineStr">
        <is>
          <t>ODS-H351942-01</t>
        </is>
      </c>
      <c r="AZ8" t="n">
        <v>2021</v>
      </c>
      <c r="BA8" t="inlineStr">
        <is>
          <t>Below threshold</t>
        </is>
      </c>
      <c r="BB8" t="inlineStr">
        <is>
          <t>85-0019998301</t>
        </is>
      </c>
      <c r="BC8" t="n">
        <v>0</v>
      </c>
      <c r="BD8" t="n">
        <v>1</v>
      </c>
    </row>
    <row r="9">
      <c r="A9" t="inlineStr">
        <is>
          <t>1521802738</t>
        </is>
      </c>
      <c r="B9" t="inlineStr">
        <is>
          <t>PITCO FOODS LLC</t>
        </is>
      </c>
      <c r="C9" t="inlineStr">
        <is>
          <t>85-00192294</t>
        </is>
      </c>
      <c r="D9" t="inlineStr">
        <is>
          <t>01</t>
        </is>
      </c>
      <c r="E9" t="inlineStr">
        <is>
          <t>PITCO FOODS LLC,C/O WILLIAM MC</t>
        </is>
      </c>
      <c r="F9" t="inlineStr">
        <is>
          <t>979 GreenTree Road, Pittsburgh, PA</t>
        </is>
      </c>
      <c r="G9" t="inlineStr">
        <is>
          <t>PA</t>
        </is>
      </c>
      <c r="H9" t="inlineStr">
        <is>
          <t>ODS</t>
        </is>
      </c>
      <c r="I9" t="inlineStr">
        <is>
          <t>H351942</t>
        </is>
      </c>
      <c r="J9" t="inlineStr">
        <is>
          <t>01</t>
        </is>
      </c>
      <c r="K9" t="inlineStr">
        <is>
          <t>08/16/2021</t>
        </is>
      </c>
      <c r="L9" t="inlineStr">
        <is>
          <t>08/16/2022</t>
        </is>
      </c>
      <c r="M9" t="inlineStr">
        <is>
          <t>07/23/2022</t>
        </is>
      </c>
      <c r="N9" t="inlineStr">
        <is>
          <t>07/28/2022</t>
        </is>
      </c>
      <c r="O9" t="n">
        <v>5</v>
      </c>
      <c r="P9" t="inlineStr">
        <is>
          <t>closed</t>
        </is>
      </c>
      <c r="Q9" t="inlineStr">
        <is>
          <t>08/05/2022</t>
        </is>
      </c>
      <c r="R9" t="inlineStr">
        <is>
          <t>Building - Property - Property Damages</t>
        </is>
      </c>
      <c r="S9" t="n">
        <v>0</v>
      </c>
      <c r="T9" t="n">
        <v>2391.35</v>
      </c>
      <c r="U9" t="n">
        <v>2391.35</v>
      </c>
      <c r="V9" t="n">
        <v>0</v>
      </c>
      <c r="W9" t="n">
        <v>682.9</v>
      </c>
      <c r="X9" t="n">
        <v>3074.25</v>
      </c>
      <c r="Y9" t="n">
        <v>0</v>
      </c>
      <c r="Z9" t="n">
        <v>0</v>
      </c>
      <c r="AA9" t="n">
        <v>0</v>
      </c>
      <c r="AB9" t="n">
        <v>0</v>
      </c>
      <c r="AC9" t="n">
        <v>0</v>
      </c>
      <c r="AE9" t="inlineStr">
        <is>
          <t>Windstorm/Hail</t>
        </is>
      </c>
      <c r="AF9" t="inlineStr">
        <is>
          <t>Wind</t>
        </is>
      </c>
      <c r="AG9" t="inlineStr">
        <is>
          <t>Awning</t>
        </is>
      </c>
      <c r="AL9" t="inlineStr"/>
      <c r="AM9" t="inlineStr">
        <is>
          <t> </t>
        </is>
      </c>
      <c r="AN9" t="inlineStr">
        <is>
          <t>Saturday</t>
        </is>
      </c>
      <c r="AO9" t="inlineStr">
        <is>
          <t> </t>
        </is>
      </c>
      <c r="AW9" t="inlineStr">
        <is>
          <t>TOLSON, WYATT</t>
        </is>
      </c>
      <c r="AY9" t="inlineStr">
        <is>
          <t>ODS-H351942-01</t>
        </is>
      </c>
      <c r="AZ9" t="n">
        <v>2021</v>
      </c>
      <c r="BA9" t="inlineStr">
        <is>
          <t>Below threshold</t>
        </is>
      </c>
      <c r="BB9" t="inlineStr">
        <is>
          <t>85-0019229401</t>
        </is>
      </c>
      <c r="BC9" t="n">
        <v>2391.35</v>
      </c>
      <c r="BD9" t="n">
        <v>1</v>
      </c>
    </row>
    <row r="10">
      <c r="A10" t="inlineStr">
        <is>
          <t>1521802738</t>
        </is>
      </c>
      <c r="B10" t="inlineStr">
        <is>
          <t>PITCO FOODS LLC</t>
        </is>
      </c>
      <c r="C10" t="inlineStr">
        <is>
          <t>85-00711493</t>
        </is>
      </c>
      <c r="D10" t="inlineStr">
        <is>
          <t>02</t>
        </is>
      </c>
      <c r="E10" t="inlineStr">
        <is>
          <t>Hovey, Nancy</t>
        </is>
      </c>
      <c r="F10" t="inlineStr">
        <is>
          <t>1020 Riverside Dr, Franklin, TN</t>
        </is>
      </c>
      <c r="G10" t="inlineStr">
        <is>
          <t>TN</t>
        </is>
      </c>
      <c r="H10" t="inlineStr">
        <is>
          <t>ODS</t>
        </is>
      </c>
      <c r="I10" t="inlineStr">
        <is>
          <t>H351942</t>
        </is>
      </c>
      <c r="J10" t="inlineStr">
        <is>
          <t>04</t>
        </is>
      </c>
      <c r="K10" t="inlineStr">
        <is>
          <t>08/16/2024</t>
        </is>
      </c>
      <c r="L10" t="inlineStr">
        <is>
          <t>08/16/2025</t>
        </is>
      </c>
      <c r="M10" t="inlineStr">
        <is>
          <t>11/08/2024</t>
        </is>
      </c>
      <c r="N10" t="inlineStr">
        <is>
          <t>12/10/2024</t>
        </is>
      </c>
      <c r="O10" t="n">
        <v>32</v>
      </c>
      <c r="P10" t="inlineStr">
        <is>
          <t>open</t>
        </is>
      </c>
      <c r="R10" t="inlineStr">
        <is>
          <t>Premises/Operations-Products/Completed Operations-Hired and NonOwned-MedPay</t>
        </is>
      </c>
      <c r="S10" t="n">
        <v>650.9</v>
      </c>
      <c r="T10" t="n">
        <v>6349.1</v>
      </c>
      <c r="U10" t="n">
        <v>7000</v>
      </c>
      <c r="V10" t="n">
        <v>0</v>
      </c>
      <c r="W10" t="n">
        <v>0</v>
      </c>
      <c r="X10" t="n">
        <v>7000</v>
      </c>
      <c r="Y10" t="n">
        <v>0</v>
      </c>
      <c r="Z10" t="n">
        <v>0</v>
      </c>
      <c r="AA10" t="n">
        <v>0</v>
      </c>
      <c r="AB10" t="n">
        <v>0</v>
      </c>
      <c r="AC10" t="n">
        <v>0</v>
      </c>
      <c r="AE10" t="inlineStr">
        <is>
          <t>Slip/Trip-Fall</t>
        </is>
      </c>
      <c r="AF10" t="inlineStr">
        <is>
          <t>Fall in Building</t>
        </is>
      </c>
      <c r="AG10" t="inlineStr">
        <is>
          <t>Personal Injury</t>
        </is>
      </c>
      <c r="AL10" t="inlineStr"/>
      <c r="AM10" t="inlineStr">
        <is>
          <t> </t>
        </is>
      </c>
      <c r="AN10" t="inlineStr">
        <is>
          <t>Friday</t>
        </is>
      </c>
      <c r="AO10" t="inlineStr">
        <is>
          <t> </t>
        </is>
      </c>
      <c r="AW10" t="inlineStr">
        <is>
          <t>BIEBER, HANNAH</t>
        </is>
      </c>
      <c r="AY10" t="inlineStr">
        <is>
          <t>ODS-H351942-04</t>
        </is>
      </c>
      <c r="AZ10" t="n">
        <v>2024</v>
      </c>
      <c r="BA10" t="inlineStr">
        <is>
          <t>Below threshold</t>
        </is>
      </c>
      <c r="BB10" t="inlineStr">
        <is>
          <t>85-0071149302</t>
        </is>
      </c>
      <c r="BC10" t="n">
        <v>7000</v>
      </c>
      <c r="BD10" t="n">
        <v>0</v>
      </c>
    </row>
    <row r="11">
      <c r="A11" t="inlineStr">
        <is>
          <t>1521802738</t>
        </is>
      </c>
      <c r="B11" t="inlineStr">
        <is>
          <t>PITCO FOODS LLC</t>
        </is>
      </c>
      <c r="C11" t="inlineStr">
        <is>
          <t>85-00804343</t>
        </is>
      </c>
      <c r="D11" t="inlineStr">
        <is>
          <t>01</t>
        </is>
      </c>
      <c r="E11" t="inlineStr">
        <is>
          <t>PITCO FOODS LLC,C/O WILLIAM MC</t>
        </is>
      </c>
      <c r="F11" t="inlineStr">
        <is>
          <t>4910 Baum Blvd, Pittsburgh, PA</t>
        </is>
      </c>
      <c r="G11" t="inlineStr">
        <is>
          <t>PA</t>
        </is>
      </c>
      <c r="H11" t="inlineStr">
        <is>
          <t>ODS</t>
        </is>
      </c>
      <c r="I11" t="inlineStr">
        <is>
          <t>H351942</t>
        </is>
      </c>
      <c r="J11" t="inlineStr">
        <is>
          <t>04</t>
        </is>
      </c>
      <c r="K11" t="inlineStr">
        <is>
          <t>08/16/2024</t>
        </is>
      </c>
      <c r="L11" t="inlineStr">
        <is>
          <t>08/16/2025</t>
        </is>
      </c>
      <c r="M11" t="inlineStr">
        <is>
          <t>06/16/2025</t>
        </is>
      </c>
      <c r="N11" t="inlineStr">
        <is>
          <t>06/24/2025</t>
        </is>
      </c>
      <c r="O11" t="n">
        <v>8</v>
      </c>
      <c r="P11" t="inlineStr">
        <is>
          <t>closed</t>
        </is>
      </c>
      <c r="Q11" t="inlineStr">
        <is>
          <t>07/21/2025</t>
        </is>
      </c>
      <c r="R11" t="inlineStr">
        <is>
          <t>Personal Property - Personal Property Damages</t>
        </is>
      </c>
      <c r="S11" t="n">
        <v>0</v>
      </c>
      <c r="T11" t="n">
        <v>0</v>
      </c>
      <c r="U11" t="n">
        <v>0</v>
      </c>
      <c r="V11" t="n">
        <v>0</v>
      </c>
      <c r="W11" t="n">
        <v>0</v>
      </c>
      <c r="X11" t="n">
        <v>0</v>
      </c>
      <c r="Y11" t="n">
        <v>0</v>
      </c>
      <c r="Z11" t="n">
        <v>0</v>
      </c>
      <c r="AA11" t="n">
        <v>0</v>
      </c>
      <c r="AB11" t="n">
        <v>0</v>
      </c>
      <c r="AC11" t="n">
        <v>0</v>
      </c>
      <c r="AE11" t="inlineStr">
        <is>
          <t>Water Damage</t>
        </is>
      </c>
      <c r="AF11" t="inlineStr">
        <is>
          <t>Drain/Water Backup-Above</t>
        </is>
      </c>
      <c r="AG11" t="inlineStr">
        <is>
          <t>Pipe Break</t>
        </is>
      </c>
      <c r="AL11" t="inlineStr"/>
      <c r="AM11" t="inlineStr">
        <is>
          <t> </t>
        </is>
      </c>
      <c r="AN11" t="inlineStr">
        <is>
          <t>Monday</t>
        </is>
      </c>
      <c r="AO11" t="inlineStr">
        <is>
          <t> </t>
        </is>
      </c>
      <c r="AW11" t="inlineStr">
        <is>
          <t>LEWIS, JENNIFER</t>
        </is>
      </c>
      <c r="AY11" t="inlineStr">
        <is>
          <t>ODS-H351942-04</t>
        </is>
      </c>
      <c r="AZ11" t="n">
        <v>2024</v>
      </c>
      <c r="BA11" t="inlineStr">
        <is>
          <t>Below threshold</t>
        </is>
      </c>
      <c r="BB11" t="inlineStr">
        <is>
          <t>85-0080434301</t>
        </is>
      </c>
      <c r="BC11" t="n">
        <v>0</v>
      </c>
      <c r="BD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KARDOES, RYAN M</dc:creator>
  <dcterms:created xsi:type="dcterms:W3CDTF">2026-04-07T10:58:36Z</dcterms:created>
  <dcterms:modified xsi:type="dcterms:W3CDTF">2026-10-19T07:48:55Z</dcterms:modified>
  <cp:lastModifiedBy>KARDOES, RYAN M</cp:lastModifiedBy>
</cp:coreProperties>
</file>

<file path=docProps/custom.xml><?xml version="1.0" encoding="utf-8"?>
<Properties xmlns:vt="http://schemas.openxmlformats.org/officeDocument/2006/docPropsVTypes" xmlns="http://schemas.openxmlformats.org/officeDocument/2006/custom-properties">
  <property name="MSIP_Label_4c0986b3-3385-442f-b788-cbe40ae57075_Removed" fmtid="{D5CDD505-2E9C-101B-9397-08002B2CF9AE}" pid="2">
    <vt:lpwstr>False</vt:lpwstr>
  </property>
  <property name="MSIP_Label_4c0986b3-3385-442f-b788-cbe40ae57075_ActionId" fmtid="{D5CDD505-2E9C-101B-9397-08002B2CF9AE}" pid="3">
    <vt:lpwstr>7f0d1462-04ac-44ad-b0e4-8590be4dc0ef</vt:lpwstr>
  </property>
  <property name="MSIP_Label_4c0986b3-3385-442f-b788-cbe40ae57075_Name" fmtid="{D5CDD505-2E9C-101B-9397-08002B2CF9AE}" pid="4">
    <vt:lpwstr>Restricted</vt:lpwstr>
  </property>
  <property name="MSIP_Label_4c0986b3-3385-442f-b788-cbe40ae57075_SetDate" fmtid="{D5CDD505-2E9C-101B-9397-08002B2CF9AE}" pid="5">
    <vt:lpwstr>2026-04-07T12:19:45Z</vt:lpwstr>
  </property>
  <property name="MSIP_Label_4c0986b3-3385-442f-b788-cbe40ae57075_SiteId" fmtid="{D5CDD505-2E9C-101B-9397-08002B2CF9AE}" pid="6">
    <vt:lpwstr>3ea62a99-e446-48ea-b404-0ac8d9c9b14a</vt:lpwstr>
  </property>
  <property name="MSIP_Label_4c0986b3-3385-442f-b788-cbe40ae57075_Enabled" fmtid="{D5CDD505-2E9C-101B-9397-08002B2CF9AE}" pid="7">
    <vt:lpwstr>True</vt:lpwstr>
  </property>
  <property name="MSIP_Label_4c0986b3-3385-442f-b788-cbe40ae57075_Extended_MSFT_Method" fmtid="{D5CDD505-2E9C-101B-9397-08002B2CF9AE}" pid="8">
    <vt:lpwstr>Standard</vt:lpwstr>
  </property>
  <property name="Sensitivity" fmtid="{D5CDD505-2E9C-101B-9397-08002B2CF9AE}" pid="9">
    <vt:lpwstr>Restricted</vt:lpwstr>
  </property>
</Properties>
</file>