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Page" sheetId="1" state="visible" r:id="rId3"/>
    <sheet name="Charts" sheetId="2" state="hidden" r:id="rId4"/>
    <sheet name="Summary By Policy Year" sheetId="3" state="hidden" r:id="rId5"/>
    <sheet name="Review" sheetId="4" state="visible" r:id="rId6"/>
    <sheet name="Claims Details" sheetId="5" state="visible" r:id="rId7"/>
    <sheet name="Record Only" sheetId="6" state="hidden" r:id="rId8"/>
    <sheet name="Accounts" sheetId="7" state="hidden" r:id="rId9"/>
    <sheet name="XDO_METADATA" sheetId="8" state="hidden" r:id="rId10"/>
  </sheets>
  <definedNames>
    <definedName function="false" hidden="false" name="XDO_?XDOFIELD10?" vbProcedure="false">'Record Only'!$I$2:$I$19</definedName>
    <definedName function="false" hidden="false" name="XDO_?XDOFIELD11?" vbProcedure="false">'Record Only'!$L$2:$L$19</definedName>
    <definedName function="false" hidden="false" name="XDO_?XDOFIELD12?" vbProcedure="false">'Record Only'!$M$2:$M$19</definedName>
    <definedName function="false" hidden="false" name="XDO_?XDOFIELD13?" vbProcedure="false">'Record Only'!$N$2:$N$19</definedName>
    <definedName function="false" hidden="false" name="XDO_?XDOFIELD14?" vbProcedure="false">'Record Only'!$O$2:$O$19</definedName>
    <definedName function="false" hidden="false" name="XDO_?XDOFIELD15?" vbProcedure="false">'Record Only'!$Q$2:$Q$19</definedName>
    <definedName function="false" hidden="false" name="XDO_?XDOFIELD16?" vbProcedure="false">'Record Only'!$R$2:$R$19</definedName>
    <definedName function="false" hidden="false" name="XDO_?XDOFIELD17?" vbProcedure="false">'Record Only'!$T$2:$T$19</definedName>
    <definedName function="false" hidden="false" name="XDO_?XDOFIELD18?" vbProcedure="false">'Record Only'!$U$2:$U$19</definedName>
    <definedName function="false" hidden="false" name="XDO_?XDOFIELD19?" vbProcedure="false">'Record Only'!$V$2:$V$19</definedName>
    <definedName function="false" hidden="false" name="XDO_?XDOFIELD1?" vbProcedure="false">Accounts!$A$2</definedName>
    <definedName function="false" hidden="false" name="XDO_?XDOFIELD20?" vbProcedure="false">'Record Only'!$W$2:$W$19</definedName>
    <definedName function="false" hidden="false" name="XDO_?XDOFIELD21?" vbProcedure="false">'Record Only'!$AA$2:$AA$19</definedName>
    <definedName function="false" hidden="false" name="XDO_?XDOFIELD22?" vbProcedure="false">'Record Only'!$AC$2:$AC$19</definedName>
    <definedName function="false" hidden="false" name="XDO_?XDOFIELD23?" vbProcedure="false">'Record Only'!$AD$2:$AD$19</definedName>
    <definedName function="false" hidden="false" name="XDO_?XDOFIELD24?" vbProcedure="false">'Record Only'!$AG$2:$AG$19</definedName>
    <definedName function="false" hidden="false" name="XDO_?XDOFIELD25?" vbProcedure="false">'Record Only'!$AH$2:$AH$19</definedName>
    <definedName function="false" hidden="false" name="XDO_?XDOFIELD26?" vbProcedure="false">'Record Only'!$AI$2:$AI$19</definedName>
    <definedName function="false" hidden="false" name="XDO_?XDOFIELD27?" vbProcedure="false">'Record Only'!$AJ$2:$AJ$19</definedName>
    <definedName function="false" hidden="false" name="XDO_?XDOFIELD28?" vbProcedure="false">'Record Only'!$AK$2:$AK$19</definedName>
    <definedName function="false" hidden="false" name="XDO_?XDOFIELD29?" vbProcedure="false">'Record Only'!$AL$2:$AL$19</definedName>
    <definedName function="false" hidden="false" name="XDO_?XDOFIELD2?" vbProcedure="false">Accounts!$C$2</definedName>
    <definedName function="false" hidden="false" name="XDO_?XDOFIELD30?" vbProcedure="false">'Record Only'!$AM$2:$AM$19</definedName>
    <definedName function="false" hidden="false" name="XDO_?XDOFIELD31?" vbProcedure="false">'Record Only'!$K$2:$K$19</definedName>
    <definedName function="false" hidden="false" name="XDO_?XDOFIELD32?" vbProcedure="false">'Record Only'!$X$2:$X$19</definedName>
    <definedName function="false" hidden="false" name="XDO_?XDOFIELD33?" vbProcedure="false">'Record Only'!$Y$2:$Y$19</definedName>
    <definedName function="false" hidden="false" name="XDO_?XDOFIELD34?" vbProcedure="false">'Record Only'!$Z$2:$Z$19</definedName>
    <definedName function="false" hidden="false" name="XDO_?XDOFIELD35?" vbProcedure="false">Accounts!$B$2</definedName>
    <definedName function="false" hidden="false" name="XDO_?XDOFIELD36?" vbProcedure="false">'Claims Details'!$A$2:$A$56</definedName>
    <definedName function="false" hidden="false" name="XDO_?XDOFIELD37?" vbProcedure="false">'Claims Details'!$B$2:$B$56</definedName>
    <definedName function="false" hidden="false" name="XDO_?XDOFIELD38?" vbProcedure="false">'Claims Details'!$C$2:$C$56</definedName>
    <definedName function="false" hidden="false" name="XDO_?XDOFIELD39?" vbProcedure="false">'Claims Details'!$D$2:$D$56</definedName>
    <definedName function="false" hidden="false" name="XDO_?XDOFIELD3?" vbProcedure="false">'Record Only'!$A$2:$A$19</definedName>
    <definedName function="false" hidden="false" name="XDO_?XDOFIELD40?" vbProcedure="false">'Claims Details'!$E$2:$E$56</definedName>
    <definedName function="false" hidden="false" name="XDO_?XDOFIELD41?" vbProcedure="false">'Claims Details'!$F$2:$F$56</definedName>
    <definedName function="false" hidden="false" name="XDO_?XDOFIELD42?" vbProcedure="false">'Claims Details'!$G$2:$G$56</definedName>
    <definedName function="false" hidden="false" name="XDO_?XDOFIELD43?" vbProcedure="false">'Claims Details'!$I$2:$I$56</definedName>
    <definedName function="false" hidden="false" name="XDO_?XDOFIELD44?" vbProcedure="false">'Claims Details'!$K$2:$K$56</definedName>
    <definedName function="false" hidden="false" name="XDO_?XDOFIELD45?" vbProcedure="false">'Claims Details'!$L$2:$L$56</definedName>
    <definedName function="false" hidden="false" name="XDO_?XDOFIELD46?" vbProcedure="false">'Claims Details'!$M$2:$M$56</definedName>
    <definedName function="false" hidden="false" name="XDO_?XDOFIELD47?" vbProcedure="false">'Claims Details'!$N$2:$N$56</definedName>
    <definedName function="false" hidden="false" name="XDO_?XDOFIELD48?" vbProcedure="false">'Claims Details'!$O$2:$O$56</definedName>
    <definedName function="false" hidden="false" name="XDO_?XDOFIELD49?" vbProcedure="false">'Claims Details'!$P$2:$P$56</definedName>
    <definedName function="false" hidden="false" name="XDO_?XDOFIELD4?" vbProcedure="false">'Record Only'!$B$2:$B$19</definedName>
    <definedName function="false" hidden="false" name="XDO_?XDOFIELD50?" vbProcedure="false">'Claims Details'!$Q$2:$Q$56</definedName>
    <definedName function="false" hidden="false" name="XDO_?XDOFIELD51?" vbProcedure="false">'Claims Details'!$S$2:$S$56</definedName>
    <definedName function="false" hidden="false" name="XDO_?XDOFIELD52?" vbProcedure="false">'Claims Details'!$T$2:$T$56</definedName>
    <definedName function="false" hidden="false" name="XDO_?XDOFIELD53?" vbProcedure="false">'Claims Details'!$U$2:$U$56</definedName>
    <definedName function="false" hidden="false" name="XDO_?XDOFIELD54?" vbProcedure="false">'Claims Details'!$V$2:$V$56</definedName>
    <definedName function="false" hidden="false" name="XDO_?XDOFIELD55?" vbProcedure="false">'Claims Details'!$W$2:$W$56</definedName>
    <definedName function="false" hidden="false" name="XDO_?XDOFIELD56?" vbProcedure="false">'Claims Details'!$X$2:$X$56</definedName>
    <definedName function="false" hidden="false" name="XDO_?XDOFIELD57?" vbProcedure="false">'Claims Details'!$Y$2:$Y$56</definedName>
    <definedName function="false" hidden="false" name="XDO_?XDOFIELD58?" vbProcedure="false">'Claims Details'!$Z$2:$Z$56</definedName>
    <definedName function="false" hidden="false" name="XDO_?XDOFIELD59?" vbProcedure="false">'Claims Details'!$AA$2:$AA$56</definedName>
    <definedName function="false" hidden="false" name="XDO_?XDOFIELD5?" vbProcedure="false">'Record Only'!$C$2:$C$19</definedName>
    <definedName function="false" hidden="false" name="XDO_?XDOFIELD60?" vbProcedure="false">'Claims Details'!$AB$2:$AB$56</definedName>
    <definedName function="false" hidden="false" name="XDO_?XDOFIELD61?" vbProcedure="false">'Claims Details'!$AC$2:$AC$56</definedName>
    <definedName function="false" hidden="false" name="XDO_?XDOFIELD62?" vbProcedure="false">'Claims Details'!$AD$2:$AD$56</definedName>
    <definedName function="false" hidden="false" name="XDO_?XDOFIELD63?" vbProcedure="false">'Claims Details'!$AE$2:$AE$56</definedName>
    <definedName function="false" hidden="false" name="XDO_?XDOFIELD64?" vbProcedure="false">'Claims Details'!$AF$2:$AF$56</definedName>
    <definedName function="false" hidden="false" name="XDO_?XDOFIELD65?" vbProcedure="false">'Claims Details'!$AG$2:$AG$56</definedName>
    <definedName function="false" hidden="false" name="XDO_?XDOFIELD66?" vbProcedure="false">'Claims Details'!$AH$2:$AH$56</definedName>
    <definedName function="false" hidden="false" name="XDO_?XDOFIELD67?" vbProcedure="false">'Claims Details'!$AI$2:$AI$56</definedName>
    <definedName function="false" hidden="false" name="XDO_?XDOFIELD68?" vbProcedure="false">'Claims Details'!$AJ$2:$AJ$56</definedName>
    <definedName function="false" hidden="false" name="XDO_?XDOFIELD69?" vbProcedure="false">'Claims Details'!$AK$2:$AK$56</definedName>
    <definedName function="false" hidden="false" name="XDO_?XDOFIELD6?" vbProcedure="false">'Record Only'!$D$2:$D$19</definedName>
    <definedName function="false" hidden="false" name="XDO_?XDOFIELD70?" vbProcedure="false">'Claims Details'!$AL$2:$AL$56</definedName>
    <definedName function="false" hidden="false" name="XDO_?XDOFIELD71?" vbProcedure="false">'Claims Details'!$AM$2:$AM$56</definedName>
    <definedName function="false" hidden="false" name="XDO_?XDOFIELD72?" vbProcedure="false">'Claims Details'!$AN$2:$AN$56</definedName>
    <definedName function="false" hidden="false" name="XDO_?XDOFIELD73?" vbProcedure="false">'Claims Details'!$AP$2:$AP$56</definedName>
    <definedName function="false" hidden="false" name="XDO_?XDOFIELD74?" vbProcedure="false">'Claims Details'!$AQ$2:$AQ$56</definedName>
    <definedName function="false" hidden="false" name="XDO_?XDOFIELD75?" vbProcedure="false">'Claims Details'!$AS$2:$AS$56</definedName>
    <definedName function="false" hidden="false" name="XDO_?XDOFIELD76?" vbProcedure="false">'Claims Details'!$AT$2:$AT$56</definedName>
    <definedName function="false" hidden="false" name="XDO_?XDOFIELD77?" vbProcedure="false">'Claims Details'!$AU$2:$AU$56</definedName>
    <definedName function="false" hidden="false" name="XDO_?XDOFIELD78?" vbProcedure="false">'Claims Details'!$AV$2:$AV$56</definedName>
    <definedName function="false" hidden="false" name="XDO_?XDOFIELD79?" vbProcedure="false">'Claims Details'!$AW$2:$AW$56</definedName>
    <definedName function="false" hidden="false" name="XDO_?XDOFIELD7?" vbProcedure="false">'Record Only'!$E$2:$E$19</definedName>
    <definedName function="false" hidden="false" name="XDO_?XDOFIELD80?" vbProcedure="false">'Claims Details'!$AX$2:$AX$56</definedName>
    <definedName function="false" hidden="false" name="XDO_?XDOFIELD81?" vbProcedure="false">'Claims Details'!$AY$2:$AY$56</definedName>
    <definedName function="false" hidden="false" name="XDO_?XDOFIELD82?" vbProcedure="false">'Claims Details'!$AZ$2:$AZ$56</definedName>
    <definedName function="false" hidden="false" name="XDO_?XDOFIELD83?" vbProcedure="false">'Claims Details'!$BA$2:$BA$56</definedName>
    <definedName function="false" hidden="false" name="XDO_?XDOFIELD84?" vbProcedure="false">'Claims Details'!$BB$2:$BB$56</definedName>
    <definedName function="false" hidden="false" name="XDO_?XDOFIELD85?" vbProcedure="false">'Claims Details'!$BC$2:$BC$56</definedName>
    <definedName function="false" hidden="false" name="XDO_?XDOFIELD86?" vbProcedure="false">'Claims Details'!$BD$2:$BD$56</definedName>
    <definedName function="false" hidden="false" name="XDO_?XDOFIELD87?" vbProcedure="false">'Claims Details'!$BE$2:$BE$56</definedName>
    <definedName function="false" hidden="false" name="XDO_?XDOFIELD88?" vbProcedure="false">'Claims Details'!$BF$2:$BF$56</definedName>
    <definedName function="false" hidden="false" name="XDO_?XDOFIELD89?" vbProcedure="false">'Claims Details'!$BG$2:$BG$56</definedName>
    <definedName function="false" hidden="false" name="XDO_?XDOFIELD8?" vbProcedure="false">'Record Only'!$F$2:$F$19</definedName>
    <definedName function="false" hidden="false" name="XDO_?XDOFIELD90?" vbProcedure="false">'Claims Details'!$BH$2:$BH$56</definedName>
    <definedName function="false" hidden="false" name="XDO_?XDOFIELD91?" vbProcedure="false">'Claims Details'!$BI$2:$BI$56</definedName>
    <definedName function="false" hidden="false" name="XDO_?XDOFIELD92?" vbProcedure="false">'Claims Details'!$BJ$2:$BJ$56</definedName>
    <definedName function="false" hidden="false" name="XDO_?XDOFIELD93?" vbProcedure="false">'Claims Details'!$BK$2:$BK$56</definedName>
    <definedName function="false" hidden="false" name="XDO_?XDOFIELD94?" vbProcedure="false">'Claims Details'!$BL$2:$BL$56</definedName>
    <definedName function="false" hidden="false" name="XDO_?XDOFIELD95?" vbProcedure="false">'Claims Details'!$BM$2:$BM$56</definedName>
    <definedName function="false" hidden="false" name="XDO_?XDOFIELD96?" vbProcedure="false">'Claims Details'!$BN$2:$BN$56</definedName>
    <definedName function="false" hidden="false" name="XDO_?XDOFIELD98?" vbProcedure="false">'Record Only'!$P$2:$P$19</definedName>
    <definedName function="false" hidden="false" name="XDO_?XDOFIELD99?" vbProcedure="false">'Record Only'!$AF$2:$AF$19</definedName>
    <definedName function="false" hidden="false" name="XDO_?XDOFIELD9?" vbProcedure="false">'Record Only'!$G$2:$G$19</definedName>
    <definedName function="false" hidden="false" name="XDO_GROUP_?XDOG1?" vbProcedure="false">Accounts!$A$2:$C$2</definedName>
    <definedName function="false" hidden="false" name="XDO_GROUP_?XDOG2?" vbProcedure="false">'Record Only'!$A$2:$AM$19</definedName>
    <definedName function="false" hidden="false" name="XDO_GROUP_?XDOG3?" vbProcedure="false">'Claims Details'!$A$2:$BO$56</definedName>
    <definedName function="false" hidden="false" name="_xlfn_IFERROR" vbProcedure="false">#REF!</definedName>
    <definedName function="false" hidden="false" localSheetId="4" name="Excel_BuiltIn__FilterDatabase" vbProcedure="false">'Claims Details'!$A$1:$BO$2</definedName>
    <definedName function="false" hidden="false" localSheetId="5" name="Excel_BuiltIn__FilterDatabase" vbProcedure="false">'Record Only'!$A$1:$AM$2</definedName>
  </definedNames>
  <calcPr iterateCount="100" refMode="A1" iterate="false" iterateDelta="0.001"/>
  <pivotCaches>
    <pivotCache cacheId="1" r:id="rId12"/>
    <pivotCache cacheId="2" r:id="rId13"/>
  </pivotCaches>
  <extLst>
    <ext xmlns:loext="http://schemas.libreoffice.org/" uri="{7626C862-2A13-11E5-B345-FEFF819CDC9F}">
      <loext:extCalcPr stringRefSyntax="CalcA1"/>
    </ext>
  </extLst>
</workbook>
</file>

<file path=xl/sharedStrings.xml><?xml version="1.0" encoding="utf-8"?>
<sst xmlns="http://schemas.openxmlformats.org/spreadsheetml/2006/main" count="2767" uniqueCount="771">
  <si>
    <t xml:space="preserve">Account Number</t>
  </si>
  <si>
    <t xml:space="preserve">Account Name</t>
  </si>
  <si>
    <t xml:space="preserve">Report Run Date</t>
  </si>
  <si>
    <t xml:space="preserve">The information contained in this Special Account Claim Report is proprietary and confidential and may include private customer, claimant, and/or consumer information. The information is provided to agent solely for claims-related business purposes.  In accordance with the requirements of applicable privacy laws, the privacy and confidentiality provisions of The Hanover Agency Agreement, and the Special Account Claims Reporting Terms of Use and Privacy Requirements, by accessing information contained in this report, agent agrees to protect the information and not to disclose it to others or use it to solicit business or for other impermissible purposes.</t>
  </si>
  <si>
    <t xml:space="preserve">This report contains information on all open claims; as well as closed claims limited to the current and prior six policy years.</t>
  </si>
  <si>
    <t xml:space="preserve"> </t>
  </si>
  <si>
    <t xml:space="preserve">Policy Year</t>
  </si>
  <si>
    <t xml:space="preserve">Total Claims</t>
  </si>
  <si>
    <t xml:space="preserve">Total $ Incurred</t>
  </si>
  <si>
    <t xml:space="preserve">Grand Total</t>
  </si>
  <si>
    <t xml:space="preserve">Claim Status</t>
  </si>
  <si>
    <t xml:space="preserve">(All)</t>
  </si>
  <si>
    <t xml:space="preserve">Litigation Status</t>
  </si>
  <si>
    <t xml:space="preserve">Policy Symbol</t>
  </si>
  <si>
    <t xml:space="preserve">Policy</t>
  </si>
  <si>
    <t xml:space="preserve">Policy Effective Date</t>
  </si>
  <si>
    <t xml:space="preserve">Account Location Identifier</t>
  </si>
  <si>
    <t xml:space="preserve">Claim Number</t>
  </si>
  <si>
    <t xml:space="preserve">Cause of Loss</t>
  </si>
  <si>
    <t xml:space="preserve">Description of Loss</t>
  </si>
  <si>
    <t xml:space="preserve">Contributing Factor</t>
  </si>
  <si>
    <t xml:space="preserve">Claimant Name-Company</t>
  </si>
  <si>
    <t xml:space="preserve">Adjuster</t>
  </si>
  <si>
    <t xml:space="preserve">Adjuster Email</t>
  </si>
  <si>
    <t xml:space="preserve">Adjuster Phone</t>
  </si>
  <si>
    <t xml:space="preserve">Total Features</t>
  </si>
  <si>
    <t xml:space="preserve">Total Outstanding</t>
  </si>
  <si>
    <t xml:space="preserve">Total Paid</t>
  </si>
  <si>
    <t xml:space="preserve">Total Incurred</t>
  </si>
  <si>
    <t xml:space="preserve">Total Expense</t>
  </si>
  <si>
    <t xml:space="preserve">Claims Above 25K</t>
  </si>
  <si>
    <t xml:space="preserve">WDY-0346719-00</t>
  </si>
  <si>
    <t xml:space="preserve">100</t>
  </si>
  <si>
    <t xml:space="preserve">03-00777588</t>
  </si>
  <si>
    <t xml:space="preserve">A</t>
  </si>
  <si>
    <t xml:space="preserve">JEROME  PUSHKO</t>
  </si>
  <si>
    <t xml:space="preserve">DEATON, REX</t>
  </si>
  <si>
    <t xml:space="preserve">ADEATON@HANOVER.COM</t>
  </si>
  <si>
    <t xml:space="preserve">774-262-4624</t>
  </si>
  <si>
    <t xml:space="preserve">2007 Total</t>
  </si>
  <si>
    <t xml:space="preserve">(blank)</t>
  </si>
  <si>
    <t xml:space="preserve">(blank) Total</t>
  </si>
  <si>
    <t xml:space="preserve">Reported Date</t>
  </si>
  <si>
    <t xml:space="preserve">Claim Closed Date</t>
  </si>
  <si>
    <t xml:space="preserve">Total</t>
  </si>
  <si>
    <t xml:space="preserve">WDY</t>
  </si>
  <si>
    <t xml:space="preserve">Open</t>
  </si>
  <si>
    <t xml:space="preserve">Customer Account Number</t>
  </si>
  <si>
    <t xml:space="preserve">Policy Insured Name</t>
  </si>
  <si>
    <t xml:space="preserve">Policy Number</t>
  </si>
  <si>
    <t xml:space="preserve">Policy MOD</t>
  </si>
  <si>
    <t xml:space="preserve">Policy Effective Date_Source</t>
  </si>
  <si>
    <t xml:space="preserve">Policy Expiration Date_Source</t>
  </si>
  <si>
    <t xml:space="preserve">Policy Expiration Date</t>
  </si>
  <si>
    <t xml:space="preserve">Policy Holder Claim Number</t>
  </si>
  <si>
    <t xml:space="preserve">Agent code</t>
  </si>
  <si>
    <t xml:space="preserve">Agent Name</t>
  </si>
  <si>
    <t xml:space="preserve">Feature Number</t>
  </si>
  <si>
    <t xml:space="preserve">Coverage</t>
  </si>
  <si>
    <t xml:space="preserve">Loss Date_Source</t>
  </si>
  <si>
    <t xml:space="preserve">Loss Date</t>
  </si>
  <si>
    <t xml:space="preserve">Accident State</t>
  </si>
  <si>
    <t xml:space="preserve">Current Loss Reserve</t>
  </si>
  <si>
    <t xml:space="preserve">Paid Loss Net Subro/Salvage</t>
  </si>
  <si>
    <t xml:space="preserve">Incurred</t>
  </si>
  <si>
    <t xml:space="preserve">Expense</t>
  </si>
  <si>
    <t xml:space="preserve">Salvage Recovery</t>
  </si>
  <si>
    <t xml:space="preserve">Subro Recovery</t>
  </si>
  <si>
    <t xml:space="preserve">Loss Recovery</t>
  </si>
  <si>
    <t xml:space="preserve">Deductible Recovery</t>
  </si>
  <si>
    <t xml:space="preserve">Recoveries</t>
  </si>
  <si>
    <t xml:space="preserve">ALAE</t>
  </si>
  <si>
    <t xml:space="preserve">Expense Column</t>
  </si>
  <si>
    <t xml:space="preserve">Expense Recovery</t>
  </si>
  <si>
    <t xml:space="preserve">Product</t>
  </si>
  <si>
    <t xml:space="preserve">Manufacturer</t>
  </si>
  <si>
    <t xml:space="preserve">Policy Region Desc</t>
  </si>
  <si>
    <t xml:space="preserve">Policy Holder Retailer Desc</t>
  </si>
  <si>
    <t xml:space="preserve">Reported Date_Source</t>
  </si>
  <si>
    <t xml:space="preserve">Claim Closed Date_Source</t>
  </si>
  <si>
    <t xml:space="preserve">Occupation</t>
  </si>
  <si>
    <t xml:space="preserve">Accident DOW</t>
  </si>
  <si>
    <t xml:space="preserve">Insured Driver</t>
  </si>
  <si>
    <t xml:space="preserve">Total Loss Ind</t>
  </si>
  <si>
    <t xml:space="preserve">Vehicle Year</t>
  </si>
  <si>
    <t xml:space="preserve">Vehicle Manufacturer</t>
  </si>
  <si>
    <t xml:space="preserve">Vehicle Model</t>
  </si>
  <si>
    <t xml:space="preserve">Vehicle ID</t>
  </si>
  <si>
    <t xml:space="preserve">Vehicle License Plate</t>
  </si>
  <si>
    <t xml:space="preserve">Vehicle License State</t>
  </si>
  <si>
    <t xml:space="preserve">Record Source</t>
  </si>
  <si>
    <t xml:space="preserve">RO_Ind</t>
  </si>
  <si>
    <t xml:space="preserve">Expo_Ind</t>
  </si>
  <si>
    <t xml:space="preserve">Curr_Versn_Ind</t>
  </si>
  <si>
    <t xml:space="preserve">Claim Above 25K</t>
  </si>
  <si>
    <t xml:space="preserve">Claim Feature Number</t>
  </si>
  <si>
    <t xml:space="preserve">Claim Distinct</t>
  </si>
  <si>
    <t xml:space="preserve">1524368671</t>
  </si>
  <si>
    <t xml:space="preserve">ANDERSON UNIVERSITY</t>
  </si>
  <si>
    <t xml:space="preserve">South Carolina</t>
  </si>
  <si>
    <t xml:space="preserve">WZ6</t>
  </si>
  <si>
    <t xml:space="preserve">J664314</t>
  </si>
  <si>
    <t xml:space="preserve">00</t>
  </si>
  <si>
    <t xml:space="preserve">2024-06-01T00:00:00.000-04:00</t>
  </si>
  <si>
    <t xml:space="preserve">2025-06-01T00:00:00.000-04:00</t>
  </si>
  <si>
    <t xml:space="preserve">1902824</t>
  </si>
  <si>
    <t xml:space="preserve">WORLD INSURANCE ASSOC LLC     </t>
  </si>
  <si>
    <t xml:space="preserve">83-00140591</t>
  </si>
  <si>
    <t xml:space="preserve">01</t>
  </si>
  <si>
    <t xml:space="preserve">WC Coverage - Other than Med</t>
  </si>
  <si>
    <t xml:space="preserve">2024-06-07T00:00:00.000-04:00</t>
  </si>
  <si>
    <t xml:space="preserve">SC</t>
  </si>
  <si>
    <t xml:space="preserve">H3-Foot</t>
  </si>
  <si>
    <t xml:space="preserve">B6-Fracture</t>
  </si>
  <si>
    <t xml:space="preserve">N2-Strain by - Twisting</t>
  </si>
  <si>
    <t xml:space="preserve">2024-06-10T00:00:00.000-04:00</t>
  </si>
  <si>
    <t xml:space="preserve">closed</t>
  </si>
  <si>
    <t xml:space="preserve">2025-02-07T00:00:00.000-05:00</t>
  </si>
  <si>
    <t xml:space="preserve">Garrett, Amanda</t>
  </si>
  <si>
    <t xml:space="preserve">administrative assistant school of physical therapy</t>
  </si>
  <si>
    <t xml:space="preserve">Friday   </t>
  </si>
  <si>
    <t xml:space="preserve">SCIBELLI, CHRISTINE</t>
  </si>
  <si>
    <t xml:space="preserve">CSCIBELLI@HANOVER.COM</t>
  </si>
  <si>
    <t xml:space="preserve">8006280250</t>
  </si>
  <si>
    <t xml:space="preserve">HCS</t>
  </si>
  <si>
    <t xml:space="preserve">N</t>
  </si>
  <si>
    <t xml:space="preserve">Y</t>
  </si>
  <si>
    <t xml:space="preserve">WZ6-J664314-00</t>
  </si>
  <si>
    <t xml:space="preserve">83-0014059101</t>
  </si>
  <si>
    <t xml:space="preserve">ZD6</t>
  </si>
  <si>
    <t xml:space="preserve">J737771</t>
  </si>
  <si>
    <t xml:space="preserve">85-00638846</t>
  </si>
  <si>
    <t xml:space="preserve">D &amp; O/EPLI -Claims Made-Personal Injury</t>
  </si>
  <si>
    <t xml:space="preserve">2024-07-22T00:00:00.000-04:00</t>
  </si>
  <si>
    <t xml:space="preserve">Employment Practices Liability</t>
  </si>
  <si>
    <t xml:space="preserve">Contractual Liability</t>
  </si>
  <si>
    <t xml:space="preserve">Employee</t>
  </si>
  <si>
    <t xml:space="preserve">2025-07-17T00:00:00.000-04:00</t>
  </si>
  <si>
    <t xml:space="preserve">Triplet, Jennifer</t>
  </si>
  <si>
    <t xml:space="preserve">Monday   </t>
  </si>
  <si>
    <t xml:space="preserve">CORUM, YASICA</t>
  </si>
  <si>
    <t xml:space="preserve">YCORUM@HANOVER.COM</t>
  </si>
  <si>
    <t xml:space="preserve">ZD6-J737771-00</t>
  </si>
  <si>
    <t xml:space="preserve">85-0063884601</t>
  </si>
  <si>
    <t xml:space="preserve">2026-06-01T00:00:00.000-04:00</t>
  </si>
  <si>
    <t xml:space="preserve">83-00164978</t>
  </si>
  <si>
    <t xml:space="preserve">02</t>
  </si>
  <si>
    <t xml:space="preserve">WC Coverage -Med Only</t>
  </si>
  <si>
    <t xml:space="preserve">2025-09-19T00:00:00.000-04:00</t>
  </si>
  <si>
    <t xml:space="preserve">A8-Contusion</t>
  </si>
  <si>
    <t xml:space="preserve">P1-Struck by falling/flying obj.</t>
  </si>
  <si>
    <t xml:space="preserve">2025-09-22T00:00:00.000-04:00</t>
  </si>
  <si>
    <t xml:space="preserve">2025-11-25T00:00:00.000-05:00</t>
  </si>
  <si>
    <t xml:space="preserve">King, Mackenzie</t>
  </si>
  <si>
    <t xml:space="preserve">Student Employee</t>
  </si>
  <si>
    <t xml:space="preserve">MIRANDA, JAZMIN</t>
  </si>
  <si>
    <t xml:space="preserve">JMIRANDA@HANOVER.COM</t>
  </si>
  <si>
    <t xml:space="preserve">WZ6-J664314-01</t>
  </si>
  <si>
    <t xml:space="preserve">83-0016497802</t>
  </si>
  <si>
    <t xml:space="preserve">83-00176988</t>
  </si>
  <si>
    <t xml:space="preserve">2026-03-31T00:00:00.000-04:00</t>
  </si>
  <si>
    <t xml:space="preserve">D3-Finger</t>
  </si>
  <si>
    <t xml:space="preserve">C3-Caught in/between - misc.</t>
  </si>
  <si>
    <t xml:space="preserve">2026-04-22T00:00:00.000-04:00</t>
  </si>
  <si>
    <t xml:space="preserve">2026-07-01T00:00:00.000-04:00</t>
  </si>
  <si>
    <t xml:space="preserve">Hurst, Kylie</t>
  </si>
  <si>
    <t xml:space="preserve">Tuesday  </t>
  </si>
  <si>
    <t xml:space="preserve">ROSE STENNETT, ISHA</t>
  </si>
  <si>
    <t xml:space="preserve">IROSESTENNE@HANOVER.COM</t>
  </si>
  <si>
    <t xml:space="preserve">83-0017698802</t>
  </si>
  <si>
    <t xml:space="preserve">AW6</t>
  </si>
  <si>
    <t xml:space="preserve">J734241</t>
  </si>
  <si>
    <t xml:space="preserve">85-00940245</t>
  </si>
  <si>
    <t xml:space="preserve">Comprehensive</t>
  </si>
  <si>
    <t xml:space="preserve">2025-01-07T00:00:00.000-05:00</t>
  </si>
  <si>
    <t xml:space="preserve">Comprehensive Auto</t>
  </si>
  <si>
    <t xml:space="preserve">Towing Expense</t>
  </si>
  <si>
    <t xml:space="preserve">Unspecified</t>
  </si>
  <si>
    <t xml:space="preserve">2026-03-30T00:00:00.000-04:00</t>
  </si>
  <si>
    <t xml:space="preserve">2026-04-01T00:00:00.000-04:00</t>
  </si>
  <si>
    <t xml:space="preserve">2004</t>
  </si>
  <si>
    <t xml:space="preserve">Ford</t>
  </si>
  <si>
    <t xml:space="preserve">Ranger</t>
  </si>
  <si>
    <t xml:space="preserve">1FTYR14UX4PA45598</t>
  </si>
  <si>
    <t xml:space="preserve">TEAM, GLASS/TOW</t>
  </si>
  <si>
    <t xml:space="preserve">FCHELP@HANOVER.COM</t>
  </si>
  <si>
    <t xml:space="preserve">AW6-J734241-00</t>
  </si>
  <si>
    <t xml:space="preserve">85-0094024501</t>
  </si>
  <si>
    <t xml:space="preserve">85-00940252</t>
  </si>
  <si>
    <t xml:space="preserve">2025-04-11T00:00:00.000-04:00</t>
  </si>
  <si>
    <t xml:space="preserve">Econoline</t>
  </si>
  <si>
    <t xml:space="preserve">85-0094025201</t>
  </si>
  <si>
    <t xml:space="preserve">85-00939884</t>
  </si>
  <si>
    <t xml:space="preserve">2025-02-05T00:00:00.000-05:00</t>
  </si>
  <si>
    <t xml:space="preserve">2026-04-06T00:00:00.000-04:00</t>
  </si>
  <si>
    <t xml:space="preserve">Wednesday</t>
  </si>
  <si>
    <t xml:space="preserve">2002</t>
  </si>
  <si>
    <t xml:space="preserve">1FTYR10U02PB14754</t>
  </si>
  <si>
    <t xml:space="preserve">85-0093988401</t>
  </si>
  <si>
    <t xml:space="preserve">85-00940580</t>
  </si>
  <si>
    <t xml:space="preserve">2025-02-19T00:00:00.000-05:00</t>
  </si>
  <si>
    <t xml:space="preserve">2017</t>
  </si>
  <si>
    <t xml:space="preserve">Nissan</t>
  </si>
  <si>
    <t xml:space="preserve">Datsun</t>
  </si>
  <si>
    <t xml:space="preserve">3N6CM0KNXHK708834</t>
  </si>
  <si>
    <t xml:space="preserve">85-0094058001</t>
  </si>
  <si>
    <t xml:space="preserve">85-00940760</t>
  </si>
  <si>
    <t xml:space="preserve">2025-01-22T00:00:00.000-05:00</t>
  </si>
  <si>
    <t xml:space="preserve">85-0094076001</t>
  </si>
  <si>
    <t xml:space="preserve">85-00940481</t>
  </si>
  <si>
    <t xml:space="preserve">2024-08-06T00:00:00.000-04:00</t>
  </si>
  <si>
    <t xml:space="preserve">2005</t>
  </si>
  <si>
    <t xml:space="preserve">1FBNE31L85HB38139</t>
  </si>
  <si>
    <t xml:space="preserve">85-0094048101</t>
  </si>
  <si>
    <t xml:space="preserve">83-00144737</t>
  </si>
  <si>
    <t xml:space="preserve">2024-08-20T00:00:00.000-04:00</t>
  </si>
  <si>
    <t xml:space="preserve">D7-Thumb</t>
  </si>
  <si>
    <t xml:space="preserve">C8-Puncture</t>
  </si>
  <si>
    <t xml:space="preserve">Q1-Animal/insect</t>
  </si>
  <si>
    <t xml:space="preserve">2024-08-26T00:00:00.000-04:00</t>
  </si>
  <si>
    <t xml:space="preserve">2024-10-16T00:00:00.000-04:00</t>
  </si>
  <si>
    <t xml:space="preserve">Dominguez, Anthony</t>
  </si>
  <si>
    <t xml:space="preserve">Law Enforcement Officer</t>
  </si>
  <si>
    <t xml:space="preserve">PIPER, OLIVIA</t>
  </si>
  <si>
    <t xml:space="preserve">OPIPER@HANOVER.COM</t>
  </si>
  <si>
    <t xml:space="preserve">83-0014473702</t>
  </si>
  <si>
    <t xml:space="preserve">85-00940490</t>
  </si>
  <si>
    <t xml:space="preserve">2024-10-08T00:00:00.000-04:00</t>
  </si>
  <si>
    <t xml:space="preserve">2010</t>
  </si>
  <si>
    <t xml:space="preserve">Trans</t>
  </si>
  <si>
    <t xml:space="preserve">NM0LS7DN9AT039866</t>
  </si>
  <si>
    <t xml:space="preserve">85-0094049001</t>
  </si>
  <si>
    <t xml:space="preserve">85-00940499</t>
  </si>
  <si>
    <t xml:space="preserve">2024-12-05T00:00:00.000-05:00</t>
  </si>
  <si>
    <t xml:space="preserve">Thursday </t>
  </si>
  <si>
    <t xml:space="preserve">Chev</t>
  </si>
  <si>
    <t xml:space="preserve">Express</t>
  </si>
  <si>
    <t xml:space="preserve">1GB6G3AG3A1120541</t>
  </si>
  <si>
    <t xml:space="preserve">85-0094049901</t>
  </si>
  <si>
    <t xml:space="preserve">85-00939087</t>
  </si>
  <si>
    <t xml:space="preserve">2024-08-28T00:00:00.000-04:00</t>
  </si>
  <si>
    <t xml:space="preserve">2026-03-27T00:00:00.000-04:00</t>
  </si>
  <si>
    <t xml:space="preserve">2001</t>
  </si>
  <si>
    <t xml:space="preserve">1FDXE45F51HB31332</t>
  </si>
  <si>
    <t xml:space="preserve">85-0093908701</t>
  </si>
  <si>
    <t xml:space="preserve">85-00939093</t>
  </si>
  <si>
    <t xml:space="preserve">2025-05-30T00:00:00.000-04:00</t>
  </si>
  <si>
    <t xml:space="preserve">1FDWE35L82HA96377</t>
  </si>
  <si>
    <t xml:space="preserve">85-0093909301</t>
  </si>
  <si>
    <t xml:space="preserve">85-00940266</t>
  </si>
  <si>
    <t xml:space="preserve">1FDWE35L85HA51766</t>
  </si>
  <si>
    <t xml:space="preserve">85-0094026601</t>
  </si>
  <si>
    <t xml:space="preserve">85-00940289</t>
  </si>
  <si>
    <t xml:space="preserve">2024-09-19T00:00:00.000-04:00</t>
  </si>
  <si>
    <t xml:space="preserve">85-0094028901</t>
  </si>
  <si>
    <t xml:space="preserve">85-00940516</t>
  </si>
  <si>
    <t xml:space="preserve">2024-12-09T00:00:00.000-05:00</t>
  </si>
  <si>
    <t xml:space="preserve">85-0094051601</t>
  </si>
  <si>
    <t xml:space="preserve">85-00940528</t>
  </si>
  <si>
    <t xml:space="preserve">2024-12-12T00:00:00.000-05:00</t>
  </si>
  <si>
    <t xml:space="preserve">Van</t>
  </si>
  <si>
    <t xml:space="preserve">85-0094052801</t>
  </si>
  <si>
    <t xml:space="preserve">85-00940537</t>
  </si>
  <si>
    <t xml:space="preserve">2024-07-29T00:00:00.000-04:00</t>
  </si>
  <si>
    <t xml:space="preserve">2013</t>
  </si>
  <si>
    <t xml:space="preserve">Transit</t>
  </si>
  <si>
    <t xml:space="preserve">NM0LS7CNXDT173842</t>
  </si>
  <si>
    <t xml:space="preserve">85-0094053701</t>
  </si>
  <si>
    <t xml:space="preserve">85-00940545</t>
  </si>
  <si>
    <t xml:space="preserve">Truck</t>
  </si>
  <si>
    <t xml:space="preserve">85-0094054501</t>
  </si>
  <si>
    <t xml:space="preserve">85-00940563</t>
  </si>
  <si>
    <t xml:space="preserve">2025-05-08T00:00:00.000-04:00</t>
  </si>
  <si>
    <t xml:space="preserve">2015</t>
  </si>
  <si>
    <t xml:space="preserve">1FDWE3FL8FDA09749</t>
  </si>
  <si>
    <t xml:space="preserve">85-0094056301</t>
  </si>
  <si>
    <t xml:space="preserve">85-00940569</t>
  </si>
  <si>
    <t xml:space="preserve">2025-03-03T00:00:00.000-05:00</t>
  </si>
  <si>
    <t xml:space="preserve">85-0094056901</t>
  </si>
  <si>
    <t xml:space="preserve">85-00940576</t>
  </si>
  <si>
    <t xml:space="preserve">2025-02-12T00:00:00.000-05:00</t>
  </si>
  <si>
    <t xml:space="preserve">1FDES6PM9HKB36375</t>
  </si>
  <si>
    <t xml:space="preserve">85-0094057601</t>
  </si>
  <si>
    <t xml:space="preserve">83-00143630</t>
  </si>
  <si>
    <t xml:space="preserve">2024-08-02T00:00:00.000-04:00</t>
  </si>
  <si>
    <t xml:space="preserve">B2-Nose</t>
  </si>
  <si>
    <t xml:space="preserve">C4-Lacerations</t>
  </si>
  <si>
    <t xml:space="preserve">D2-Cut - hand tool - not powered</t>
  </si>
  <si>
    <t xml:space="preserve">2024-08-05T00:00:00.000-04:00</t>
  </si>
  <si>
    <t xml:space="preserve">2024-10-09T00:00:00.000-04:00</t>
  </si>
  <si>
    <t xml:space="preserve">Capps, William</t>
  </si>
  <si>
    <t xml:space="preserve">Maintenance Tech II</t>
  </si>
  <si>
    <t xml:space="preserve">83-0014363002</t>
  </si>
  <si>
    <t xml:space="preserve">83-00164837</t>
  </si>
  <si>
    <t xml:space="preserve">2025-09-16T00:00:00.000-04:00</t>
  </si>
  <si>
    <t xml:space="preserve">F2-Chest (Ribs)</t>
  </si>
  <si>
    <t xml:space="preserve">D4-Strain</t>
  </si>
  <si>
    <t xml:space="preserve">F4-Fall/slip - on same level</t>
  </si>
  <si>
    <t xml:space="preserve">2025-09-18T00:00:00.000-04:00</t>
  </si>
  <si>
    <t xml:space="preserve">2025-12-17T00:00:00.000-05:00</t>
  </si>
  <si>
    <t xml:space="preserve">Criswell, Joni</t>
  </si>
  <si>
    <t xml:space="preserve">Associate Professor, Biology</t>
  </si>
  <si>
    <t xml:space="preserve">MUNS, MEGAN</t>
  </si>
  <si>
    <t xml:space="preserve">MMUNS@HANOVER.COM</t>
  </si>
  <si>
    <t xml:space="preserve">83-0016483702</t>
  </si>
  <si>
    <t xml:space="preserve">83-00162948</t>
  </si>
  <si>
    <t xml:space="preserve">2025-08-13T00:00:00.000-04:00</t>
  </si>
  <si>
    <t xml:space="preserve">H2-Ankle</t>
  </si>
  <si>
    <t xml:space="preserve">D3-Sprain</t>
  </si>
  <si>
    <t xml:space="preserve">F1-Fall/slip - different level</t>
  </si>
  <si>
    <t xml:space="preserve">2025-08-14T00:00:00.000-04:00</t>
  </si>
  <si>
    <t xml:space="preserve">2025-10-15T00:00:00.000-04:00</t>
  </si>
  <si>
    <t xml:space="preserve">McCullough, Robert</t>
  </si>
  <si>
    <t xml:space="preserve">83-0016294802</t>
  </si>
  <si>
    <t xml:space="preserve">83-00140593</t>
  </si>
  <si>
    <t xml:space="preserve">2024-06-08T00:00:00.000-04:00</t>
  </si>
  <si>
    <t xml:space="preserve">D4-Cut - inj. by - miscellaneous</t>
  </si>
  <si>
    <t xml:space="preserve">2024-07-31T00:00:00.000-04:00</t>
  </si>
  <si>
    <t xml:space="preserve">Carter, Caleb</t>
  </si>
  <si>
    <t xml:space="preserve">Student employee</t>
  </si>
  <si>
    <t xml:space="preserve">Saturday </t>
  </si>
  <si>
    <t xml:space="preserve">GADDAM, TINEAL</t>
  </si>
  <si>
    <t xml:space="preserve">TGADDAM@HANOVER.COM</t>
  </si>
  <si>
    <t xml:space="preserve">83-0014059302</t>
  </si>
  <si>
    <t xml:space="preserve">2027-06-01T00:00:00.000-04:00</t>
  </si>
  <si>
    <t xml:space="preserve">83-00179618</t>
  </si>
  <si>
    <t xml:space="preserve">2026-06-04T00:00:00.000-04:00</t>
  </si>
  <si>
    <t xml:space="preserve">H5-Knee</t>
  </si>
  <si>
    <t xml:space="preserve">F9-Fall/slip - Stairs</t>
  </si>
  <si>
    <t xml:space="preserve">2026-07-27T00:00:00.000-04:00</t>
  </si>
  <si>
    <t xml:space="preserve">Friend, Beth</t>
  </si>
  <si>
    <t xml:space="preserve">Director, Grant Writing and Prospect Research</t>
  </si>
  <si>
    <t xml:space="preserve">BRECKEN, JENNIFER</t>
  </si>
  <si>
    <t xml:space="preserve">JBRECKEN@HANOVER.COM</t>
  </si>
  <si>
    <t xml:space="preserve">WZ6-J664314-02</t>
  </si>
  <si>
    <t xml:space="preserve">83-0017961802</t>
  </si>
  <si>
    <t xml:space="preserve">85-00952284</t>
  </si>
  <si>
    <t xml:space="preserve">2026-02-18T00:00:00.000-05:00</t>
  </si>
  <si>
    <t xml:space="preserve">Glass Breakage</t>
  </si>
  <si>
    <t xml:space="preserve">2006</t>
  </si>
  <si>
    <t xml:space="preserve">1FBSS31L96HA07654</t>
  </si>
  <si>
    <t xml:space="preserve">HALL, BOBBI</t>
  </si>
  <si>
    <t xml:space="preserve">BHALL@HANOVER.COM</t>
  </si>
  <si>
    <t xml:space="preserve">AW6-J734241-01</t>
  </si>
  <si>
    <t xml:space="preserve">85-0095228401</t>
  </si>
  <si>
    <t xml:space="preserve">78-00410564</t>
  </si>
  <si>
    <t xml:space="preserve">2025-09-23T00:00:00.000-04:00</t>
  </si>
  <si>
    <t xml:space="preserve">2025-10-02T00:00:00.000-04:00</t>
  </si>
  <si>
    <t xml:space="preserve">2025-10-03T00:00:00.000-04:00</t>
  </si>
  <si>
    <t xml:space="preserve">TOYOT</t>
  </si>
  <si>
    <t xml:space="preserve">CAMRY</t>
  </si>
  <si>
    <t xml:space="preserve">4T1BF1FK8FU928111</t>
  </si>
  <si>
    <t xml:space="preserve">U</t>
  </si>
  <si>
    <t xml:space="preserve">78-0041056401</t>
  </si>
  <si>
    <t xml:space="preserve">78-00431600</t>
  </si>
  <si>
    <t xml:space="preserve">2026-03-03T00:00:00.000-05:00</t>
  </si>
  <si>
    <t xml:space="preserve">2026-04-10T00:00:00.000-04:00</t>
  </si>
  <si>
    <t xml:space="preserve">2026-04-16T00:00:00.000-04:00</t>
  </si>
  <si>
    <t xml:space="preserve">2007</t>
  </si>
  <si>
    <t xml:space="preserve">Toyota</t>
  </si>
  <si>
    <t xml:space="preserve">Avalon</t>
  </si>
  <si>
    <t xml:space="preserve">4T1BK36B57U251480</t>
  </si>
  <si>
    <t xml:space="preserve">78-0043160001</t>
  </si>
  <si>
    <t xml:space="preserve">78-00379293</t>
  </si>
  <si>
    <t xml:space="preserve">2025-02-11T00:00:00.000-05:00</t>
  </si>
  <si>
    <t xml:space="preserve">2025-02-18T00:00:00.000-05:00</t>
  </si>
  <si>
    <t xml:space="preserve">FORD</t>
  </si>
  <si>
    <t xml:space="preserve">TRANS</t>
  </si>
  <si>
    <t xml:space="preserve">MANCINI, MICHAEL</t>
  </si>
  <si>
    <t xml:space="preserve">MIMANCINI@HANOVER.COM</t>
  </si>
  <si>
    <t xml:space="preserve">78-0037929301</t>
  </si>
  <si>
    <t xml:space="preserve">83-00150536</t>
  </si>
  <si>
    <t xml:space="preserve">P6-Struck by - object being lifted</t>
  </si>
  <si>
    <t xml:space="preserve">2024-12-16T00:00:00.000-05:00</t>
  </si>
  <si>
    <t xml:space="preserve">2025-02-23T00:00:00.000-05:00</t>
  </si>
  <si>
    <t xml:space="preserve">Landrith, Tonya</t>
  </si>
  <si>
    <t xml:space="preserve">Executive Assistant</t>
  </si>
  <si>
    <t xml:space="preserve">83-0015053602</t>
  </si>
  <si>
    <t xml:space="preserve">85-00736869</t>
  </si>
  <si>
    <t xml:space="preserve">Collision</t>
  </si>
  <si>
    <t xml:space="preserve">2025-01-30T00:00:00.000-05:00</t>
  </si>
  <si>
    <t xml:space="preserve">Rear End Accident</t>
  </si>
  <si>
    <t xml:space="preserve">IV Rear Ended OV</t>
  </si>
  <si>
    <t xml:space="preserve">2025-02-04T00:00:00.000-05:00</t>
  </si>
  <si>
    <t xml:space="preserve">2025-03-06T00:00:00.000-05:00</t>
  </si>
  <si>
    <t xml:space="preserve">2023</t>
  </si>
  <si>
    <t xml:space="preserve">Camry</t>
  </si>
  <si>
    <t xml:space="preserve">4T1C11AK8PU140327</t>
  </si>
  <si>
    <t xml:space="preserve">WALKER, TYSON</t>
  </si>
  <si>
    <t xml:space="preserve">TYWALKER@HANOVER.COM</t>
  </si>
  <si>
    <t xml:space="preserve">85-0073686901</t>
  </si>
  <si>
    <t xml:space="preserve">83-00145465</t>
  </si>
  <si>
    <t xml:space="preserve">2024-09-07T00:00:00.000-04:00</t>
  </si>
  <si>
    <t xml:space="preserve">MP-Multiple Body Parts</t>
  </si>
  <si>
    <t xml:space="preserve">B9-Heat Stroke-Exhaustion (prostration)</t>
  </si>
  <si>
    <t xml:space="preserve">A3-Extreme heat/cold</t>
  </si>
  <si>
    <t xml:space="preserve">2024-09-09T00:00:00.000-04:00</t>
  </si>
  <si>
    <t xml:space="preserve">2025-02-06T00:00:00.000-05:00</t>
  </si>
  <si>
    <t xml:space="preserve">Sargent, Jeremy</t>
  </si>
  <si>
    <t xml:space="preserve">Assistant Director, Campus Safety</t>
  </si>
  <si>
    <t xml:space="preserve">FOUNTAIN, BRANDON</t>
  </si>
  <si>
    <t xml:space="preserve">BFOUNTAIN@HANOVER.COM</t>
  </si>
  <si>
    <t xml:space="preserve">83-0014546502</t>
  </si>
  <si>
    <t xml:space="preserve">83-0014059102</t>
  </si>
  <si>
    <t xml:space="preserve">85-00937471</t>
  </si>
  <si>
    <t xml:space="preserve">Liability - VehicleDamage</t>
  </si>
  <si>
    <t xml:space="preserve">2026-03-16T00:00:00.000-04:00</t>
  </si>
  <si>
    <t xml:space="preserve">2026-03-24T00:00:00.000-04:00</t>
  </si>
  <si>
    <t xml:space="preserve">2026-04-23T00:00:00.000-04:00</t>
  </si>
  <si>
    <t xml:space="preserve">Macklin, John</t>
  </si>
  <si>
    <t xml:space="preserve">85-0093747101</t>
  </si>
  <si>
    <t xml:space="preserve">85-00819509</t>
  </si>
  <si>
    <t xml:space="preserve">2025-06-27T00:00:00.000-04:00</t>
  </si>
  <si>
    <t xml:space="preserve">Struck Other Object</t>
  </si>
  <si>
    <t xml:space="preserve">IV Struck Other Object</t>
  </si>
  <si>
    <t xml:space="preserve">Hydrant</t>
  </si>
  <si>
    <t xml:space="preserve">2025-07-24T00:00:00.000-04:00</t>
  </si>
  <si>
    <t xml:space="preserve">2025-08-20T00:00:00.000-04:00</t>
  </si>
  <si>
    <t xml:space="preserve">2019</t>
  </si>
  <si>
    <t xml:space="preserve">TACOM</t>
  </si>
  <si>
    <t xml:space="preserve">3TMCZ5AN7KM238227</t>
  </si>
  <si>
    <t xml:space="preserve">85-0081950901</t>
  </si>
  <si>
    <t xml:space="preserve">85-00807092</t>
  </si>
  <si>
    <t xml:space="preserve">2025-06-28T00:00:00.000-04:00</t>
  </si>
  <si>
    <t xml:space="preserve">Intersection Accident</t>
  </si>
  <si>
    <t xml:space="preserve">IV And OV Turning</t>
  </si>
  <si>
    <t xml:space="preserve">2025-06-30T00:00:00.000-04:00</t>
  </si>
  <si>
    <t xml:space="preserve">2025-07-25T00:00:00.000-04:00</t>
  </si>
  <si>
    <t xml:space="preserve">4T1C11AK5PU830990</t>
  </si>
  <si>
    <t xml:space="preserve">XFN151</t>
  </si>
  <si>
    <t xml:space="preserve">BLISS, AMANDA</t>
  </si>
  <si>
    <t xml:space="preserve">ABLISS@HANOVER.COM</t>
  </si>
  <si>
    <t xml:space="preserve">85-0080709201</t>
  </si>
  <si>
    <t xml:space="preserve">85-00657546</t>
  </si>
  <si>
    <t xml:space="preserve">2024-08-22T00:00:00.000-04:00</t>
  </si>
  <si>
    <t xml:space="preserve">Animal Collison</t>
  </si>
  <si>
    <t xml:space="preserve">2024-08-27T00:00:00.000-04:00</t>
  </si>
  <si>
    <t xml:space="preserve">NV200</t>
  </si>
  <si>
    <t xml:space="preserve">85-0065754601</t>
  </si>
  <si>
    <t xml:space="preserve">85-00853203</t>
  </si>
  <si>
    <t xml:space="preserve">2025-09-26T00:00:00.000-04:00</t>
  </si>
  <si>
    <t xml:space="preserve">Backing Accident</t>
  </si>
  <si>
    <t xml:space="preserve">IV Backing Or Rolling</t>
  </si>
  <si>
    <t xml:space="preserve">OV Parked</t>
  </si>
  <si>
    <t xml:space="preserve">2025-10-01T00:00:00.000-04:00</t>
  </si>
  <si>
    <t xml:space="preserve">2025-11-12T00:00:00.000-05:00</t>
  </si>
  <si>
    <t xml:space="preserve">Peles, Julie</t>
  </si>
  <si>
    <t xml:space="preserve">85-0085320301</t>
  </si>
  <si>
    <t xml:space="preserve">85-00887275</t>
  </si>
  <si>
    <t xml:space="preserve">2025-12-12T00:00:00.000-05:00</t>
  </si>
  <si>
    <t xml:space="preserve">2025-12-15T00:00:00.000-05:00</t>
  </si>
  <si>
    <t xml:space="preserve">2025-12-22T00:00:00.000-05:00</t>
  </si>
  <si>
    <t xml:space="preserve">2025</t>
  </si>
  <si>
    <t xml:space="preserve">Hyundai</t>
  </si>
  <si>
    <t xml:space="preserve">Santa Fe</t>
  </si>
  <si>
    <t xml:space="preserve">5NMP44GL3SH129704</t>
  </si>
  <si>
    <t xml:space="preserve">85-0088727501</t>
  </si>
  <si>
    <t xml:space="preserve">85-00690844</t>
  </si>
  <si>
    <t xml:space="preserve">Premises/Operations - Property Damages</t>
  </si>
  <si>
    <t xml:space="preserve">2024-10-14T00:00:00.000-04:00</t>
  </si>
  <si>
    <t xml:space="preserve">Vehicle Damage</t>
  </si>
  <si>
    <t xml:space="preserve">Struck Against Object</t>
  </si>
  <si>
    <t xml:space="preserve">Gate</t>
  </si>
  <si>
    <t xml:space="preserve">2024-10-31T00:00:00.000-04:00</t>
  </si>
  <si>
    <t xml:space="preserve">King, Sandra</t>
  </si>
  <si>
    <t xml:space="preserve">ROSSER, TIFFANY</t>
  </si>
  <si>
    <t xml:space="preserve">TROSSER@HANOVER.COM</t>
  </si>
  <si>
    <t xml:space="preserve">85-0069084401</t>
  </si>
  <si>
    <t xml:space="preserve">Jackson, Elizabeth</t>
  </si>
  <si>
    <t xml:space="preserve">85-0080709202</t>
  </si>
  <si>
    <t xml:space="preserve">85-00678791</t>
  </si>
  <si>
    <t xml:space="preserve">2024-09-27T00:00:00.000-04:00</t>
  </si>
  <si>
    <t xml:space="preserve">Water/Flood</t>
  </si>
  <si>
    <t xml:space="preserve">Hurricane Helene</t>
  </si>
  <si>
    <t xml:space="preserve">2024-11-26T00:00:00.000-05:00</t>
  </si>
  <si>
    <t xml:space="preserve">DODGE</t>
  </si>
  <si>
    <t xml:space="preserve">CHARG</t>
  </si>
  <si>
    <t xml:space="preserve">2C3CDXBG4KH717539</t>
  </si>
  <si>
    <t xml:space="preserve">THAYER, SARAH</t>
  </si>
  <si>
    <t xml:space="preserve">STHAYER@HANOVER.COM</t>
  </si>
  <si>
    <t xml:space="preserve">85-0067879101</t>
  </si>
  <si>
    <t xml:space="preserve">85-00675598</t>
  </si>
  <si>
    <t xml:space="preserve">Struck By Other Object</t>
  </si>
  <si>
    <t xml:space="preserve">IV Parked-Struck By Other Obj</t>
  </si>
  <si>
    <t xml:space="preserve">2024-10-03T00:00:00.000-04:00</t>
  </si>
  <si>
    <t xml:space="preserve">2020</t>
  </si>
  <si>
    <t xml:space="preserve">Honda</t>
  </si>
  <si>
    <t xml:space="preserve">CR-V</t>
  </si>
  <si>
    <t xml:space="preserve">2HKRW2H8XLH665250</t>
  </si>
  <si>
    <t xml:space="preserve">BORDIGNON, DAN</t>
  </si>
  <si>
    <t xml:space="preserve">DBORDIGNON@HANOVER.COM</t>
  </si>
  <si>
    <t xml:space="preserve">85-0067559801</t>
  </si>
  <si>
    <t xml:space="preserve">85-00673850</t>
  </si>
  <si>
    <t xml:space="preserve">Building-Property Damage</t>
  </si>
  <si>
    <t xml:space="preserve">Windstorm/Hail</t>
  </si>
  <si>
    <t xml:space="preserve">Hurricane</t>
  </si>
  <si>
    <t xml:space="preserve">2024-09-30T00:00:00.000-04:00</t>
  </si>
  <si>
    <t xml:space="preserve">2025-04-14T00:00:00.000-04:00</t>
  </si>
  <si>
    <t xml:space="preserve">KRIEGER, BRIAN</t>
  </si>
  <si>
    <t xml:space="preserve">BKRIEGER@HANOVER.COM</t>
  </si>
  <si>
    <t xml:space="preserve">8126829615</t>
  </si>
  <si>
    <t xml:space="preserve">85-0067385001</t>
  </si>
  <si>
    <t xml:space="preserve">83-00169995</t>
  </si>
  <si>
    <t xml:space="preserve">2025-11-28T00:00:00.000-05:00</t>
  </si>
  <si>
    <t xml:space="preserve">A1-Brain</t>
  </si>
  <si>
    <t xml:space="preserve">H4-Mental stress</t>
  </si>
  <si>
    <t xml:space="preserve">Q6-Cumulative Injuries</t>
  </si>
  <si>
    <t xml:space="preserve">2025-12-19T00:00:00.000-05:00</t>
  </si>
  <si>
    <t xml:space="preserve">open</t>
  </si>
  <si>
    <t xml:space="preserve">Baker, Deonn</t>
  </si>
  <si>
    <t xml:space="preserve">Vice President of Marketing and Communication</t>
  </si>
  <si>
    <t xml:space="preserve">ROOD, KAYLEIGH</t>
  </si>
  <si>
    <t xml:space="preserve">KROOD@HANOVER.COM</t>
  </si>
  <si>
    <t xml:space="preserve">83-0016999502</t>
  </si>
  <si>
    <t xml:space="preserve">83-00178748</t>
  </si>
  <si>
    <t xml:space="preserve">2026-05-19T00:00:00.000-04:00</t>
  </si>
  <si>
    <t xml:space="preserve">E3-Upper Arm excl Scapula &amp; Clavicle</t>
  </si>
  <si>
    <t xml:space="preserve">D5-Cut - inj. by-Object being lifted or handled</t>
  </si>
  <si>
    <t xml:space="preserve">2026-05-20T00:00:00.000-04:00</t>
  </si>
  <si>
    <t xml:space="preserve">Cole, Dalton</t>
  </si>
  <si>
    <t xml:space="preserve">Theater Technical Director</t>
  </si>
  <si>
    <t xml:space="preserve">83-0017874802</t>
  </si>
  <si>
    <t xml:space="preserve">85-00971958</t>
  </si>
  <si>
    <t xml:space="preserve">2026-05-27T00:00:00.000-04:00</t>
  </si>
  <si>
    <t xml:space="preserve">Hawkins, Mary</t>
  </si>
  <si>
    <t xml:space="preserve">85-0097195801</t>
  </si>
  <si>
    <t xml:space="preserve">83-00180231</t>
  </si>
  <si>
    <t xml:space="preserve">2026-06-15T00:00:00.000-04:00</t>
  </si>
  <si>
    <t xml:space="preserve">A6-Skull</t>
  </si>
  <si>
    <t xml:space="preserve">Zapata, Jose</t>
  </si>
  <si>
    <t xml:space="preserve">Student EE</t>
  </si>
  <si>
    <t xml:space="preserve">83-0018023102</t>
  </si>
  <si>
    <t xml:space="preserve">83-00174958</t>
  </si>
  <si>
    <t xml:space="preserve">2026-03-19T00:00:00.000-04:00</t>
  </si>
  <si>
    <t xml:space="preserve">F6-Lower Back</t>
  </si>
  <si>
    <t xml:space="preserve">2026-03-20T00:00:00.000-04:00</t>
  </si>
  <si>
    <t xml:space="preserve">Guthrie, Donna</t>
  </si>
  <si>
    <t xml:space="preserve">Administrative Assistant</t>
  </si>
  <si>
    <t xml:space="preserve">83-0017495802</t>
  </si>
  <si>
    <t xml:space="preserve">85-00857358</t>
  </si>
  <si>
    <t xml:space="preserve">2025-09-14T00:00:00.000-04:00</t>
  </si>
  <si>
    <t xml:space="preserve">Discrimination</t>
  </si>
  <si>
    <t xml:space="preserve">Attorney Letter</t>
  </si>
  <si>
    <t xml:space="preserve">2025-10-10T00:00:00.000-04:00</t>
  </si>
  <si>
    <t xml:space="preserve">Sunday   </t>
  </si>
  <si>
    <t xml:space="preserve">ZD6-J737771-01</t>
  </si>
  <si>
    <t xml:space="preserve">85-0085735801</t>
  </si>
  <si>
    <t xml:space="preserve">83-00177514</t>
  </si>
  <si>
    <t xml:space="preserve">2026-04-29T00:00:00.000-04:00</t>
  </si>
  <si>
    <t xml:space="preserve">H6-Lower Leg</t>
  </si>
  <si>
    <t xml:space="preserve">2026-04-30T00:00:00.000-04:00</t>
  </si>
  <si>
    <t xml:space="preserve">Dunning, Teagan</t>
  </si>
  <si>
    <t xml:space="preserve">Senior Resident Director</t>
  </si>
  <si>
    <t xml:space="preserve">83-0017751402</t>
  </si>
  <si>
    <t xml:space="preserve">Gaddam, Tineal</t>
  </si>
  <si>
    <t xml:space="preserve">tgaddam@hanover.com</t>
  </si>
  <si>
    <t xml:space="preserve">Miranda, Jazmin</t>
  </si>
  <si>
    <t xml:space="preserve">jmiranda@hanover.com</t>
  </si>
  <si>
    <t xml:space="preserve">Piper, Olivia</t>
  </si>
  <si>
    <t xml:space="preserve">opiper@hanover.com</t>
  </si>
  <si>
    <t xml:space="preserve">Fountain, Brandon</t>
  </si>
  <si>
    <t xml:space="preserve">bfountain@hanover.com</t>
  </si>
  <si>
    <t xml:space="preserve">Muns, Megan</t>
  </si>
  <si>
    <t xml:space="preserve">mmuns@hanover.com</t>
  </si>
  <si>
    <t xml:space="preserve">85-00873088</t>
  </si>
  <si>
    <t xml:space="preserve">2025-11-03T00:00:00.000-05:00</t>
  </si>
  <si>
    <t xml:space="preserve">Equipment Breakdown</t>
  </si>
  <si>
    <t xml:space="preserve">Chemical/Smoke/Fumes</t>
  </si>
  <si>
    <t xml:space="preserve">Property Damage</t>
  </si>
  <si>
    <t xml:space="preserve">2025-11-13T00:00:00.000-05:00</t>
  </si>
  <si>
    <t xml:space="preserve">2025-12-09T00:00:00.000-05:00</t>
  </si>
  <si>
    <t xml:space="preserve">Rose Stennett, Isha</t>
  </si>
  <si>
    <t xml:space="preserve">irosestenne@hanover.com</t>
  </si>
  <si>
    <t xml:space="preserve">Brecken, Jennifer</t>
  </si>
  <si>
    <t xml:space="preserve">jbrecken@hanover.com</t>
  </si>
  <si>
    <t xml:space="preserve">Rood, Kayleigh</t>
  </si>
  <si>
    <t xml:space="preserve">krood@hanover.com</t>
  </si>
  <si>
    <t xml:space="preserve">Scibelli, Christine</t>
  </si>
  <si>
    <t xml:space="preserve">cscibelli@hanover.com</t>
  </si>
  <si>
    <t xml:space="preserve">83-00183503</t>
  </si>
  <si>
    <t xml:space="preserve">McGee, Michael</t>
  </si>
  <si>
    <t xml:space="preserve">2026-08-05T00:00:00.000-04:00</t>
  </si>
  <si>
    <t xml:space="preserve">2026-08-06T00:00:00.000-04:00</t>
  </si>
  <si>
    <t xml:space="preserve">Assistant Coach, Football</t>
  </si>
  <si>
    <t xml:space="preserve">Douglass, Kelli</t>
  </si>
  <si>
    <t xml:space="preserve">KDOUGLASS@hanover.com</t>
  </si>
  <si>
    <t xml:space="preserve">Customer Account Name</t>
  </si>
  <si>
    <t xml:space="preserve">08/20/2026</t>
  </si>
  <si>
    <t xml:space="preserve">Anderson University (South Carolina)</t>
  </si>
  <si>
    <t xml:space="preserve">Version</t>
  </si>
  <si>
    <t xml:space="preserve">ARU-dbdrv</t>
  </si>
  <si>
    <t xml:space="preserve">Extractor Version</t>
  </si>
  <si>
    <t xml:space="preserve">Template Code</t>
  </si>
  <si>
    <t xml:space="preserve">Template Type</t>
  </si>
  <si>
    <t xml:space="preserve">TYPE_EXCEL_TEMPLATE</t>
  </si>
  <si>
    <t xml:space="preserve">Preprocess XSLT File</t>
  </si>
  <si>
    <t xml:space="preserve">Last Modified Date</t>
  </si>
  <si>
    <t xml:space="preserve">Last Modified By</t>
  </si>
  <si>
    <t xml:space="preserve">Kaushik Joshi</t>
  </si>
  <si>
    <t xml:space="preserve">Data Constraints:</t>
  </si>
  <si>
    <t xml:space="preserve">XDO_?XDOFIELD1?</t>
  </si>
  <si>
    <t xml:space="preserve">&lt;?CUSTOMERNUM?&gt;</t>
  </si>
  <si>
    <t xml:space="preserve">XDO_?XDOFIELD2?</t>
  </si>
  <si>
    <t xml:space="preserve">&lt;?CUSTOMERNAME?&gt;</t>
  </si>
  <si>
    <t xml:space="preserve">XDO_GROUP_?XDOG1?</t>
  </si>
  <si>
    <t xml:space="preserve">&lt;xsl:for-each select=".//G_3"&gt;</t>
  </si>
  <si>
    <t xml:space="preserve">&lt;/xsl:for-each&gt;</t>
  </si>
  <si>
    <t xml:space="preserve">XDO_?XDOFIELD3?</t>
  </si>
  <si>
    <t xml:space="preserve">&lt;?CUSTOMER_NUMBER?&gt;</t>
  </si>
  <si>
    <t xml:space="preserve">XDO_?XDOFIELD4?</t>
  </si>
  <si>
    <t xml:space="preserve">&lt;?POLICY_INSURED_NAME?&gt;</t>
  </si>
  <si>
    <t xml:space="preserve">XDO_?XDOFIELD5?</t>
  </si>
  <si>
    <t xml:space="preserve">&lt;?ACCOUNT_LOCATION_IDENTIFIER?&gt;</t>
  </si>
  <si>
    <t xml:space="preserve">XDO_?XDOFIELD6?</t>
  </si>
  <si>
    <t xml:space="preserve">&lt;?POLICY_SYMBOL?&gt;</t>
  </si>
  <si>
    <t xml:space="preserve">XDO_?XDOFIELD7?</t>
  </si>
  <si>
    <t xml:space="preserve">&lt;?POLICY_NUMBER?&gt;</t>
  </si>
  <si>
    <t xml:space="preserve">XDO_?XDOFIELD8?</t>
  </si>
  <si>
    <t xml:space="preserve">&lt;?POLICY_MOD?&gt;</t>
  </si>
  <si>
    <t xml:space="preserve">XDO_?XDOFIELD9?</t>
  </si>
  <si>
    <t xml:space="preserve">&lt;?POLICY_EFFECTIVE_DATE?&gt;</t>
  </si>
  <si>
    <t xml:space="preserve">XDO_?XDOFIELD10?</t>
  </si>
  <si>
    <t xml:space="preserve">&lt;?POLICY_EXPIRATION_DATE?&gt;</t>
  </si>
  <si>
    <t xml:space="preserve">XDO_?XDOFIELD11?</t>
  </si>
  <si>
    <t xml:space="preserve">&lt;?PRODUCING_AGENT_CODE?&gt;</t>
  </si>
  <si>
    <t xml:space="preserve">XDO_?XDOFIELD12?</t>
  </si>
  <si>
    <t xml:space="preserve">&lt;?PRODUCING_AGENT_NAME?&gt;</t>
  </si>
  <si>
    <t xml:space="preserve">XDO_?XDOFIELD13?</t>
  </si>
  <si>
    <t xml:space="preserve">&lt;?CLAIM_NUMBER?&gt;</t>
  </si>
  <si>
    <t xml:space="preserve">XDO_?XDOFIELD14?</t>
  </si>
  <si>
    <t xml:space="preserve">&lt;?FEATURE_NUMBER?&gt;</t>
  </si>
  <si>
    <t xml:space="preserve">XDO_?XDOFIELD15?</t>
  </si>
  <si>
    <t xml:space="preserve">&lt;?COVERAGE?&gt;</t>
  </si>
  <si>
    <t xml:space="preserve">XDO_?XDOFIELD16?</t>
  </si>
  <si>
    <t xml:space="preserve">&lt;?LOSS_DATE?&gt;</t>
  </si>
  <si>
    <t xml:space="preserve">XDO_?XDOFIELD17?</t>
  </si>
  <si>
    <t xml:space="preserve">&lt;?CAUSE_OF_LOSS?&gt;</t>
  </si>
  <si>
    <t xml:space="preserve">XDO_?XDOFIELD18?</t>
  </si>
  <si>
    <t xml:space="preserve">&lt;?DESCRIPTION_OF_LOSS?&gt;</t>
  </si>
  <si>
    <t xml:space="preserve">XDO_?XDOFIELD19?</t>
  </si>
  <si>
    <t xml:space="preserve">&lt;?CONTRIBUTING_FACTOR?&gt;</t>
  </si>
  <si>
    <t xml:space="preserve">XDO_?XDOFIELD20?</t>
  </si>
  <si>
    <t xml:space="preserve">&lt;?PRODUCT?&gt;</t>
  </si>
  <si>
    <t xml:space="preserve">XDO_?XDOFIELD21?</t>
  </si>
  <si>
    <t xml:space="preserve">&lt;?REPORTED_DATE?&gt;</t>
  </si>
  <si>
    <t xml:space="preserve">XDO_?XDOFIELD22?</t>
  </si>
  <si>
    <t xml:space="preserve">&lt;?CLAIM_STATUS?&gt;</t>
  </si>
  <si>
    <t xml:space="preserve">XDO_?XDOFIELD23?</t>
  </si>
  <si>
    <t xml:space="preserve">&lt;?CLAIM_CLOSED_DATE?&gt;</t>
  </si>
  <si>
    <t xml:space="preserve">XDO_?XDOFIELD24?</t>
  </si>
  <si>
    <t xml:space="preserve">&lt;?ACCIDENT_DAY_OF_WEEK?&gt;</t>
  </si>
  <si>
    <t xml:space="preserve">XDO_?XDOFIELD25?</t>
  </si>
  <si>
    <t xml:space="preserve">&lt;?ADJUSTER?&gt;</t>
  </si>
  <si>
    <t xml:space="preserve">XDO_?XDOFIELD26?</t>
  </si>
  <si>
    <t xml:space="preserve">&lt;?ADJUSTER_EMAIL?&gt;</t>
  </si>
  <si>
    <t xml:space="preserve">XDO_?XDOFIELD27?</t>
  </si>
  <si>
    <t xml:space="preserve">&lt;?ADJUSTER_PHONE_NUMBER?&gt;</t>
  </si>
  <si>
    <t xml:space="preserve">XDO_?XDOFIELD28?</t>
  </si>
  <si>
    <t xml:space="preserve">&lt;?RECORD_SOURCE_CODE?&gt;</t>
  </si>
  <si>
    <t xml:space="preserve">XDO_?XDOFIELD29?</t>
  </si>
  <si>
    <t xml:space="preserve">&lt;?RECORD_ONLY_INDICATOR?&gt;</t>
  </si>
  <si>
    <t xml:space="preserve">XDO_?XDOFIELD30?</t>
  </si>
  <si>
    <t xml:space="preserve">&lt;?EXPOSURE_INDICATOR?&gt;</t>
  </si>
  <si>
    <t xml:space="preserve">XDO_?XDOFIELD31?</t>
  </si>
  <si>
    <t xml:space="preserve">&lt;?POLICY_HOLDER_CLAIM_NUMBER?&gt;</t>
  </si>
  <si>
    <t xml:space="preserve">XDO_?XDOFIELD32?</t>
  </si>
  <si>
    <t xml:space="preserve">&lt;?MANUFACTURER?&gt;</t>
  </si>
  <si>
    <t xml:space="preserve">XDO_?XDOFIELD33?</t>
  </si>
  <si>
    <t xml:space="preserve">&lt;?POLICY_REGION_DESCRIPTION?&gt;</t>
  </si>
  <si>
    <t xml:space="preserve">XDO_?XDOFIELD34?</t>
  </si>
  <si>
    <t xml:space="preserve">&lt;?POLICY_HOLDER_RETAILER_DESC?&gt;</t>
  </si>
  <si>
    <t xml:space="preserve">XDO_GROUP_?XDOG2?</t>
  </si>
  <si>
    <t xml:space="preserve">&lt;xsl:for-each select=".//G_2"&gt;</t>
  </si>
  <si>
    <t xml:space="preserve">XDO_?XDOFIELD35?</t>
  </si>
  <si>
    <t xml:space="preserve">&lt;?REPORT_RUN_DATE?&gt;</t>
  </si>
  <si>
    <t xml:space="preserve">XDO_?XDOFIELD36?</t>
  </si>
  <si>
    <t xml:space="preserve">XDO_?XDOFIELD37?</t>
  </si>
  <si>
    <t xml:space="preserve">XDO_?XDOFIELD38?</t>
  </si>
  <si>
    <t xml:space="preserve">XDO_?XDOFIELD39?</t>
  </si>
  <si>
    <t xml:space="preserve">XDO_?XDOFIELD40?</t>
  </si>
  <si>
    <t xml:space="preserve">XDO_?XDOFIELD41?</t>
  </si>
  <si>
    <t xml:space="preserve">XDO_?XDOFIELD42?</t>
  </si>
  <si>
    <t xml:space="preserve">XDO_?XDOFIELD43?</t>
  </si>
  <si>
    <t xml:space="preserve">XDO_?XDOFIELD44?</t>
  </si>
  <si>
    <t xml:space="preserve">XDO_?XDOFIELD45?</t>
  </si>
  <si>
    <t xml:space="preserve">XDO_?XDOFIELD46?</t>
  </si>
  <si>
    <t xml:space="preserve">XDO_?XDOFIELD47?</t>
  </si>
  <si>
    <t xml:space="preserve">XDO_?XDOFIELD48?</t>
  </si>
  <si>
    <t xml:space="preserve">XDO_?XDOFIELD49?</t>
  </si>
  <si>
    <t xml:space="preserve">XDO_?XDOFIELD50?</t>
  </si>
  <si>
    <t xml:space="preserve">XDO_?XDOFIELD51?</t>
  </si>
  <si>
    <t xml:space="preserve">&lt;?ACCIDENT_STATE?&gt;</t>
  </si>
  <si>
    <t xml:space="preserve">XDO_?XDOFIELD52?</t>
  </si>
  <si>
    <t xml:space="preserve">&lt;?CURRENT_LOSS_RESERVE?&gt;</t>
  </si>
  <si>
    <t xml:space="preserve">XDO_?XDOFIELD53?</t>
  </si>
  <si>
    <t xml:space="preserve">&lt;?PAID_LOSS_NET_SALVAGE_SUBRO?&gt;</t>
  </si>
  <si>
    <t xml:space="preserve">XDO_?XDOFIELD54?</t>
  </si>
  <si>
    <t xml:space="preserve">&lt;?TOTAL_INCURRED?&gt;</t>
  </si>
  <si>
    <t xml:space="preserve">XDO_?XDOFIELD55?</t>
  </si>
  <si>
    <t xml:space="preserve">&lt;?TOTAL_EXPENSE?&gt;</t>
  </si>
  <si>
    <t xml:space="preserve">XDO_?XDOFIELD56?</t>
  </si>
  <si>
    <t xml:space="preserve">&lt;?SALVAGE_RECOVERY?&gt;</t>
  </si>
  <si>
    <t xml:space="preserve">XDO_?XDOFIELD57?</t>
  </si>
  <si>
    <t xml:space="preserve">&lt;?SUBRO_RECOVERY?&gt;</t>
  </si>
  <si>
    <t xml:space="preserve">XDO_?XDOFIELD58?</t>
  </si>
  <si>
    <t xml:space="preserve">&lt;?LOSS_RECOVERY?&gt;</t>
  </si>
  <si>
    <t xml:space="preserve">XDO_?XDOFIELD59?</t>
  </si>
  <si>
    <t xml:space="preserve">&lt;?DEDUCTIBLE_RECOVERY?&gt;</t>
  </si>
  <si>
    <t xml:space="preserve">XDO_?XDOFIELD60?</t>
  </si>
  <si>
    <t xml:space="preserve">&lt;?RECOVERIES?&gt;</t>
  </si>
  <si>
    <t xml:space="preserve">XDO_?XDOFIELD61?</t>
  </si>
  <si>
    <t xml:space="preserve">&lt;?TOTAL_ALAE_AMOUNT?&gt;</t>
  </si>
  <si>
    <t xml:space="preserve">XDO_?XDOFIELD62?</t>
  </si>
  <si>
    <t xml:space="preserve">&lt;?EXPENSE_COLUMN?&gt;</t>
  </si>
  <si>
    <t xml:space="preserve">XDO_?XDOFIELD63?</t>
  </si>
  <si>
    <t xml:space="preserve">&lt;?EXPENSE_RECOVERY?&gt;</t>
  </si>
  <si>
    <t xml:space="preserve">XDO_?XDOFIELD64?</t>
  </si>
  <si>
    <t xml:space="preserve">&lt;?LITIGATION_STATUS?&gt;</t>
  </si>
  <si>
    <t xml:space="preserve">XDO_?XDOFIELD65?</t>
  </si>
  <si>
    <t xml:space="preserve">XDO_?XDOFIELD66?</t>
  </si>
  <si>
    <t xml:space="preserve">XDO_?XDOFIELD67?</t>
  </si>
  <si>
    <t xml:space="preserve">XDO_?XDOFIELD68?</t>
  </si>
  <si>
    <t xml:space="preserve">XDO_?XDOFIELD69?</t>
  </si>
  <si>
    <t xml:space="preserve">XDO_?XDOFIELD70?</t>
  </si>
  <si>
    <t xml:space="preserve">XDO_?XDOFIELD71?</t>
  </si>
  <si>
    <t xml:space="preserve">XDO_?XDOFIELD72?</t>
  </si>
  <si>
    <t xml:space="preserve">XDO_?XDOFIELD73?</t>
  </si>
  <si>
    <t xml:space="preserve">XDO_?XDOFIELD74?</t>
  </si>
  <si>
    <t xml:space="preserve">XDO_?XDOFIELD75?</t>
  </si>
  <si>
    <t xml:space="preserve">&lt;?CLAIMANT_NAME___COMPANY?&gt;</t>
  </si>
  <si>
    <t xml:space="preserve">XDO_?XDOFIELD76?</t>
  </si>
  <si>
    <t xml:space="preserve">&lt;?OCCUPATION?&gt;</t>
  </si>
  <si>
    <t xml:space="preserve">XDO_?XDOFIELD77?</t>
  </si>
  <si>
    <t xml:space="preserve">XDO_?XDOFIELD78?</t>
  </si>
  <si>
    <t xml:space="preserve">&lt;?INSURED_DRIVER?&gt;</t>
  </si>
  <si>
    <t xml:space="preserve">XDO_?XDOFIELD79?</t>
  </si>
  <si>
    <t xml:space="preserve">&lt;?TOTAL_LOSS_INDICATOR?&gt;</t>
  </si>
  <si>
    <t xml:space="preserve">XDO_?XDOFIELD80?</t>
  </si>
  <si>
    <t xml:space="preserve">&lt;?VEHICLE_YEAR?&gt;</t>
  </si>
  <si>
    <t xml:space="preserve">XDO_?XDOFIELD81?</t>
  </si>
  <si>
    <t xml:space="preserve">&lt;?VEHICLE_MANUFACTURER?&gt;</t>
  </si>
  <si>
    <t xml:space="preserve">XDO_?XDOFIELD82?</t>
  </si>
  <si>
    <t xml:space="preserve">&lt;?VEHICLE_MODEL?&gt;</t>
  </si>
  <si>
    <t xml:space="preserve">XDO_?XDOFIELD83?</t>
  </si>
  <si>
    <t xml:space="preserve">&lt;?VEHICLE_ID_NUMBER?&gt;</t>
  </si>
  <si>
    <t xml:space="preserve">XDO_?XDOFIELD84?</t>
  </si>
  <si>
    <t xml:space="preserve">&lt;?VEHICLE_LICENSE_PLATE?&gt;</t>
  </si>
  <si>
    <t xml:space="preserve">XDO_?XDOFIELD85?</t>
  </si>
  <si>
    <t xml:space="preserve">&lt;?VEHICLE_LICENSE_STATE?&gt;</t>
  </si>
  <si>
    <t xml:space="preserve">XDO_?XDOFIELD86?</t>
  </si>
  <si>
    <t xml:space="preserve">XDO_?XDOFIELD87?</t>
  </si>
  <si>
    <t xml:space="preserve">XDO_?XDOFIELD88?</t>
  </si>
  <si>
    <t xml:space="preserve">XDO_?XDOFIELD89?</t>
  </si>
  <si>
    <t xml:space="preserve">XDO_?XDOFIELD90?</t>
  </si>
  <si>
    <t xml:space="preserve">XDO_?XDOFIELD91?</t>
  </si>
  <si>
    <t xml:space="preserve">XDO_?XDOFIELD92?</t>
  </si>
  <si>
    <t xml:space="preserve">&lt;?CURRENT_VERSION_IND?&gt;</t>
  </si>
  <si>
    <t xml:space="preserve">XDO_?XDOFIELD93?</t>
  </si>
  <si>
    <t xml:space="preserve">&lt;?POLICY?&gt;</t>
  </si>
  <si>
    <t xml:space="preserve">XDO_?XDOFIELD94?</t>
  </si>
  <si>
    <t xml:space="preserve">&lt;?POLICY_YEAR?&gt;</t>
  </si>
  <si>
    <t xml:space="preserve">XDO_?XDOFIELD95?</t>
  </si>
  <si>
    <t xml:space="preserve">&lt;?CLAIMS_ABOVE_25K?&gt;</t>
  </si>
  <si>
    <t xml:space="preserve">XDO_?XDOFIELD96?</t>
  </si>
  <si>
    <t xml:space="preserve">&lt;?CLAIM_FEATURE_NUMBER?&gt;</t>
  </si>
  <si>
    <t xml:space="preserve">XDO_GROUP_?XDOG3?</t>
  </si>
  <si>
    <t xml:space="preserve">&lt;xsl:for-each select=".//G_1"&gt;</t>
  </si>
  <si>
    <t xml:space="preserve">XDO_?XDOFIELD97?</t>
  </si>
  <si>
    <t xml:space="preserve">&lt;?SACDATE?&gt;</t>
  </si>
  <si>
    <t xml:space="preserve">XDO_?XDOFIELD98?</t>
  </si>
  <si>
    <t xml:space="preserve">XDO_?XDOFIELD99?</t>
  </si>
</sst>
</file>

<file path=xl/styles.xml><?xml version="1.0" encoding="utf-8"?>
<styleSheet xmlns="http://schemas.openxmlformats.org/spreadsheetml/2006/main">
  <numFmts count="11">
    <numFmt numFmtId="164" formatCode="General"/>
    <numFmt numFmtId="165" formatCode="@"/>
    <numFmt numFmtId="166" formatCode="[$-409]m/d/yyyy\ h:mm"/>
    <numFmt numFmtId="167" formatCode="[$-409]d\-mmm\-yy;@"/>
    <numFmt numFmtId="168" formatCode="yyyy\-mm\-dd"/>
    <numFmt numFmtId="169" formatCode="#,##0"/>
    <numFmt numFmtId="170" formatCode="\$#,##0.00"/>
    <numFmt numFmtId="171" formatCode="[$-409]m/d/yyyy"/>
    <numFmt numFmtId="172" formatCode="#,##0.00"/>
    <numFmt numFmtId="173" formatCode="0"/>
    <numFmt numFmtId="174" formatCode="[$-409]d\-mmm\-yy"/>
  </numFmts>
  <fonts count="10">
    <font>
      <sz val="11"/>
      <color rgb="FF000000"/>
      <name val="Calibri"/>
      <family val="2"/>
    </font>
    <font>
      <sz val="10"/>
      <name val="Arial"/>
      <family val="0"/>
    </font>
    <font>
      <sz val="10"/>
      <name val="Arial"/>
      <family val="0"/>
    </font>
    <font>
      <sz val="10"/>
      <name val="Arial"/>
      <family val="0"/>
    </font>
    <font>
      <sz val="10"/>
      <name val="Arial"/>
      <family val="2"/>
    </font>
    <font>
      <b val="true"/>
      <sz val="11"/>
      <color rgb="FF000000"/>
      <name val="Calibri"/>
      <family val="2"/>
    </font>
    <font>
      <sz val="10"/>
      <color rgb="FF000000"/>
      <name val="Verdana"/>
      <family val="2"/>
    </font>
    <font>
      <b val="true"/>
      <sz val="10"/>
      <name val="Times New Roman"/>
      <family val="1"/>
    </font>
    <font>
      <sz val="10"/>
      <name val="Times New Roman"/>
      <family val="1"/>
    </font>
    <font>
      <sz val="11"/>
      <color rgb="FF000000"/>
      <name val="Arial"/>
      <family val="2"/>
    </font>
  </fonts>
  <fills count="6">
    <fill>
      <patternFill patternType="none"/>
    </fill>
    <fill>
      <patternFill patternType="gray125"/>
    </fill>
    <fill>
      <patternFill patternType="solid">
        <fgColor rgb="FF969696"/>
        <bgColor rgb="FF808080"/>
      </patternFill>
    </fill>
    <fill>
      <patternFill patternType="solid">
        <fgColor rgb="FF808080"/>
        <bgColor rgb="FF969696"/>
      </patternFill>
    </fill>
    <fill>
      <patternFill patternType="solid">
        <fgColor rgb="FFFFFF00"/>
        <bgColor rgb="FFFFFF00"/>
      </patternFill>
    </fill>
    <fill>
      <patternFill patternType="solid">
        <fgColor rgb="FFC0C0C0"/>
        <bgColor rgb="FFCCCCFF"/>
      </patternFill>
    </fill>
  </fills>
  <borders count="19">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style="thin">
        <color rgb="FFFFFFFF"/>
      </left>
      <right style="thin"/>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color rgb="FFFFFFFF"/>
      </left>
      <right/>
      <top style="thin"/>
      <bottom/>
      <diagonal/>
    </border>
    <border diagonalUp="false" diagonalDown="false">
      <left/>
      <right/>
      <top style="thin"/>
      <bottom style="thin"/>
      <diagonal/>
    </border>
    <border diagonalUp="false" diagonalDown="false">
      <left/>
      <right/>
      <top style="thin"/>
      <bottom/>
      <diagonal/>
    </border>
    <border diagonalUp="false" diagonalDown="false">
      <left style="thin">
        <color rgb="FFFFFFFF"/>
      </left>
      <right/>
      <top style="thin"/>
      <bottom style="thin"/>
      <diagonal/>
    </border>
    <border diagonalUp="false" diagonalDown="false">
      <left style="thin">
        <color rgb="FF969696"/>
      </left>
      <right/>
      <top style="thin">
        <color rgb="FF969696"/>
      </top>
      <bottom/>
      <diagonal/>
    </border>
    <border diagonalUp="false" diagonalDown="false">
      <left style="thin">
        <color rgb="FFFFFFFF"/>
      </left>
      <right/>
      <top style="thin">
        <color rgb="FF969696"/>
      </top>
      <bottom/>
      <diagonal/>
    </border>
    <border diagonalUp="false" diagonalDown="false">
      <left style="thin">
        <color rgb="FF969696"/>
      </left>
      <right style="thin">
        <color rgb="FF969696"/>
      </right>
      <top style="thin">
        <color rgb="FF969696"/>
      </top>
      <bottom/>
      <diagonal/>
    </border>
    <border diagonalUp="false" diagonalDown="false">
      <left style="thin">
        <color rgb="FF969696"/>
      </left>
      <right/>
      <top style="thin">
        <color rgb="FF969696"/>
      </top>
      <bottom style="thin">
        <color rgb="FF969696"/>
      </bottom>
      <diagonal/>
    </border>
    <border diagonalUp="false" diagonalDown="false">
      <left style="thin">
        <color rgb="FFFFFFFF"/>
      </left>
      <right/>
      <top style="thin">
        <color rgb="FF969696"/>
      </top>
      <bottom style="thin">
        <color rgb="FF969696"/>
      </bottom>
      <diagonal/>
    </border>
    <border diagonalUp="false" diagonalDown="false">
      <left style="thin">
        <color rgb="FF969696"/>
      </left>
      <right style="thin">
        <color rgb="FF969696"/>
      </right>
      <top style="thin">
        <color rgb="FF969696"/>
      </top>
      <bottom style="thin">
        <color rgb="FF969696"/>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0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left" vertical="bottom"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5" fontId="5" fillId="0" borderId="1" xfId="0" applyFont="true" applyBorder="true" applyAlignment="true" applyProtection="false">
      <alignment horizontal="general" vertical="center" textRotation="0" wrapText="false" indent="0" shrinkToFit="false"/>
      <protection locked="true" hidden="false"/>
    </xf>
    <xf numFmtId="165" fontId="5" fillId="0" borderId="1" xfId="0" applyFont="true" applyBorder="true" applyAlignment="true" applyProtection="false">
      <alignment horizontal="left" vertical="center" textRotation="0" wrapText="fals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4" xfId="0" applyFont="true" applyBorder="true" applyAlignment="false" applyProtection="false">
      <alignment horizontal="general" vertical="bottom" textRotation="0" wrapText="false" indent="0" shrinkToFit="false"/>
      <protection locked="true" hidden="false"/>
    </xf>
    <xf numFmtId="169" fontId="0" fillId="0" borderId="2" xfId="0" applyFont="false" applyBorder="true" applyAlignment="false" applyProtection="false">
      <alignment horizontal="general" vertical="bottom" textRotation="0" wrapText="false" indent="0" shrinkToFit="false"/>
      <protection locked="true" hidden="false"/>
    </xf>
    <xf numFmtId="170" fontId="0" fillId="0" borderId="4" xfId="0" applyFont="false" applyBorder="true" applyAlignment="false" applyProtection="false">
      <alignment horizontal="general" vertical="bottom" textRotation="0" wrapText="false" indent="0" shrinkToFit="false"/>
      <protection locked="true" hidden="false"/>
    </xf>
    <xf numFmtId="164" fontId="0" fillId="0" borderId="5" xfId="0" applyFont="true" applyBorder="true" applyAlignment="false" applyProtection="false">
      <alignment horizontal="general" vertical="bottom" textRotation="0" wrapText="false" indent="0" shrinkToFit="false"/>
      <protection locked="true" hidden="false"/>
    </xf>
    <xf numFmtId="169" fontId="0" fillId="0" borderId="5" xfId="0" applyFont="false" applyBorder="true" applyAlignment="false" applyProtection="false">
      <alignment horizontal="general" vertical="bottom" textRotation="0" wrapText="false" indent="0" shrinkToFit="false"/>
      <protection locked="true" hidden="false"/>
    </xf>
    <xf numFmtId="170" fontId="0" fillId="0" borderId="6" xfId="0" applyFont="fals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9" fontId="0" fillId="0" borderId="7" xfId="0" applyFont="false" applyBorder="true" applyAlignment="false" applyProtection="false">
      <alignment horizontal="general" vertical="bottom" textRotation="0" wrapText="false" indent="0" shrinkToFit="false"/>
      <protection locked="true" hidden="false"/>
    </xf>
    <xf numFmtId="170" fontId="0" fillId="0" borderId="8"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1" xfId="0" applyFont="true" applyBorder="true" applyAlignment="true" applyProtection="false">
      <alignment horizontal="left" vertical="center" textRotation="0" wrapText="false" indent="0" shrinkToFit="false"/>
      <protection locked="true" hidden="false"/>
    </xf>
    <xf numFmtId="164" fontId="0" fillId="0" borderId="1" xfId="0" applyFont="true" applyBorder="true" applyAlignment="true" applyProtection="false">
      <alignment horizontal="general" vertical="center" textRotation="0" wrapText="false" indent="0" shrinkToFit="false"/>
      <protection locked="true" hidden="false"/>
    </xf>
    <xf numFmtId="164" fontId="0" fillId="0" borderId="2" xfId="0" applyFont="false" applyBorder="true" applyAlignment="true" applyProtection="false">
      <alignment horizontal="left" vertical="center" textRotation="0" wrapText="false" indent="0" shrinkToFit="false"/>
      <protection locked="true" hidden="false"/>
    </xf>
    <xf numFmtId="164" fontId="0" fillId="0" borderId="9" xfId="0" applyFont="false" applyBorder="true" applyAlignment="true" applyProtection="false">
      <alignment horizontal="left" vertical="center" textRotation="0" wrapText="false" indent="0" shrinkToFit="false"/>
      <protection locked="true" hidden="false"/>
    </xf>
    <xf numFmtId="164" fontId="0" fillId="0" borderId="2" xfId="0" applyFont="true" applyBorder="true" applyAlignment="true" applyProtection="false">
      <alignment horizontal="general" vertical="center" textRotation="0" wrapText="false" indent="0" shrinkToFit="false"/>
      <protection locked="true" hidden="false"/>
    </xf>
    <xf numFmtId="164" fontId="0" fillId="0" borderId="9" xfId="0" applyFont="false" applyBorder="true" applyAlignment="true" applyProtection="false">
      <alignment horizontal="general" vertical="center" textRotation="0" wrapText="false" indent="0" shrinkToFit="false"/>
      <protection locked="true" hidden="false"/>
    </xf>
    <xf numFmtId="164" fontId="0" fillId="0" borderId="3" xfId="0" applyFont="false" applyBorder="true" applyAlignment="true" applyProtection="false">
      <alignment horizontal="general" vertical="center" textRotation="0" wrapText="false" indent="0" shrinkToFit="false"/>
      <protection locked="true" hidden="false"/>
    </xf>
    <xf numFmtId="164" fontId="5" fillId="2" borderId="2" xfId="0" applyFont="true" applyBorder="true" applyAlignment="true" applyProtection="false">
      <alignment horizontal="left" vertical="center" textRotation="0" wrapText="false" indent="0" shrinkToFit="false"/>
      <protection locked="true" hidden="false"/>
    </xf>
    <xf numFmtId="164" fontId="5" fillId="2" borderId="2" xfId="0" applyFont="true" applyBorder="true" applyAlignment="true" applyProtection="false">
      <alignment horizontal="general" vertical="center" textRotation="0" wrapText="false" indent="0" shrinkToFit="false"/>
      <protection locked="true" hidden="false"/>
    </xf>
    <xf numFmtId="164" fontId="5" fillId="2" borderId="7" xfId="0" applyFont="true" applyBorder="true" applyAlignment="true" applyProtection="false">
      <alignment horizontal="right" vertical="center" textRotation="0" wrapText="false" indent="0" shrinkToFit="false"/>
      <protection locked="true" hidden="false"/>
    </xf>
    <xf numFmtId="164" fontId="5" fillId="2" borderId="10" xfId="0" applyFont="true" applyBorder="true" applyAlignment="true" applyProtection="false">
      <alignment horizontal="right" vertical="center" textRotation="0" wrapText="false" indent="0" shrinkToFit="false"/>
      <protection locked="true" hidden="false"/>
    </xf>
    <xf numFmtId="164" fontId="5" fillId="2" borderId="8" xfId="0" applyFont="true" applyBorder="true" applyAlignment="true" applyProtection="false">
      <alignment horizontal="right" vertical="center" textRotation="0" wrapText="false" indent="0" shrinkToFit="false"/>
      <protection locked="true" hidden="false"/>
    </xf>
    <xf numFmtId="164" fontId="5" fillId="2" borderId="11" xfId="0" applyFont="true" applyBorder="true" applyAlignment="true" applyProtection="false">
      <alignment horizontal="right" vertical="center" textRotation="0" wrapText="false" indent="0" shrinkToFit="false"/>
      <protection locked="true" hidden="false"/>
    </xf>
    <xf numFmtId="164" fontId="0" fillId="0" borderId="2" xfId="0" applyFont="false" applyBorder="true" applyAlignment="true" applyProtection="false">
      <alignment horizontal="right" vertical="center" textRotation="0" wrapText="false" indent="0" shrinkToFit="false"/>
      <protection locked="true" hidden="false"/>
    </xf>
    <xf numFmtId="171" fontId="0" fillId="0" borderId="2" xfId="0" applyFont="false" applyBorder="true" applyAlignment="true" applyProtection="false">
      <alignment horizontal="general" vertical="center" textRotation="0" wrapText="false" indent="0" shrinkToFit="false"/>
      <protection locked="true" hidden="false"/>
    </xf>
    <xf numFmtId="169" fontId="0" fillId="0" borderId="2" xfId="0" applyFont="false" applyBorder="true" applyAlignment="true" applyProtection="false">
      <alignment horizontal="general" vertical="center" textRotation="0" wrapText="false" indent="0" shrinkToFit="false"/>
      <protection locked="true" hidden="false"/>
    </xf>
    <xf numFmtId="169" fontId="0" fillId="0" borderId="11" xfId="0" applyFont="false" applyBorder="true" applyAlignment="true" applyProtection="false">
      <alignment horizontal="general" vertical="center" textRotation="0" wrapText="false" indent="0" shrinkToFit="false"/>
      <protection locked="true" hidden="false"/>
    </xf>
    <xf numFmtId="170" fontId="0" fillId="0" borderId="11" xfId="0" applyFont="false" applyBorder="true" applyAlignment="true" applyProtection="false">
      <alignment horizontal="general" vertical="center" textRotation="0" wrapText="false" indent="0" shrinkToFit="false"/>
      <protection locked="true" hidden="false"/>
    </xf>
    <xf numFmtId="172" fontId="0" fillId="0" borderId="11" xfId="0" applyFont="false" applyBorder="true" applyAlignment="true" applyProtection="false">
      <alignment horizontal="general" vertical="center" textRotation="0" wrapText="false" indent="0" shrinkToFit="false"/>
      <protection locked="true" hidden="false"/>
    </xf>
    <xf numFmtId="169" fontId="0" fillId="0" borderId="4" xfId="0" applyFont="false" applyBorder="true" applyAlignment="true" applyProtection="false">
      <alignment horizontal="general" vertical="center" textRotation="0" wrapText="false" indent="0" shrinkToFit="false"/>
      <protection locked="true" hidden="false"/>
    </xf>
    <xf numFmtId="164" fontId="0" fillId="2" borderId="2" xfId="0" applyFont="true" applyBorder="true" applyAlignment="true" applyProtection="false">
      <alignment horizontal="left" vertical="center" textRotation="0" wrapText="false" indent="0" shrinkToFit="false"/>
      <protection locked="true" hidden="false"/>
    </xf>
    <xf numFmtId="164" fontId="0" fillId="2" borderId="9" xfId="0" applyFont="false" applyBorder="true" applyAlignment="true" applyProtection="false">
      <alignment horizontal="left" vertical="center" textRotation="0" wrapText="false" indent="0" shrinkToFit="false"/>
      <protection locked="true" hidden="false"/>
    </xf>
    <xf numFmtId="169" fontId="0" fillId="2" borderId="2" xfId="0" applyFont="false" applyBorder="true" applyAlignment="true" applyProtection="false">
      <alignment horizontal="general" vertical="center" textRotation="0" wrapText="false" indent="0" shrinkToFit="false"/>
      <protection locked="true" hidden="false"/>
    </xf>
    <xf numFmtId="169" fontId="0" fillId="2" borderId="11" xfId="0" applyFont="false" applyBorder="true" applyAlignment="true" applyProtection="false">
      <alignment horizontal="general" vertical="center" textRotation="0" wrapText="false" indent="0" shrinkToFit="false"/>
      <protection locked="true" hidden="false"/>
    </xf>
    <xf numFmtId="170" fontId="0" fillId="2" borderId="11" xfId="0" applyFont="false" applyBorder="true" applyAlignment="true" applyProtection="false">
      <alignment horizontal="general" vertical="center" textRotation="0" wrapText="false" indent="0" shrinkToFit="false"/>
      <protection locked="true" hidden="false"/>
    </xf>
    <xf numFmtId="172" fontId="0" fillId="2" borderId="11" xfId="0" applyFont="false" applyBorder="true" applyAlignment="true" applyProtection="false">
      <alignment horizontal="general" vertical="center" textRotation="0" wrapText="false" indent="0" shrinkToFit="false"/>
      <protection locked="true" hidden="false"/>
    </xf>
    <xf numFmtId="169" fontId="0" fillId="2" borderId="4" xfId="0" applyFont="false" applyBorder="true" applyAlignment="true" applyProtection="false">
      <alignment horizontal="general" vertical="center" textRotation="0" wrapText="false" indent="0" shrinkToFit="false"/>
      <protection locked="true" hidden="false"/>
    </xf>
    <xf numFmtId="164" fontId="5" fillId="3" borderId="7" xfId="0" applyFont="true" applyBorder="true" applyAlignment="true" applyProtection="false">
      <alignment horizontal="left" vertical="center" textRotation="0" wrapText="false" indent="0" shrinkToFit="false"/>
      <protection locked="true" hidden="false"/>
    </xf>
    <xf numFmtId="164" fontId="5" fillId="3" borderId="12" xfId="0" applyFont="true" applyBorder="true" applyAlignment="true" applyProtection="false">
      <alignment horizontal="left" vertical="center" textRotation="0" wrapText="false" indent="0" shrinkToFit="false"/>
      <protection locked="true" hidden="false"/>
    </xf>
    <xf numFmtId="169" fontId="5" fillId="3" borderId="7" xfId="0" applyFont="true" applyBorder="true" applyAlignment="true" applyProtection="false">
      <alignment horizontal="general" vertical="center" textRotation="0" wrapText="false" indent="0" shrinkToFit="false"/>
      <protection locked="true" hidden="false"/>
    </xf>
    <xf numFmtId="169" fontId="5" fillId="3" borderId="10" xfId="0" applyFont="true" applyBorder="true" applyAlignment="true" applyProtection="false">
      <alignment horizontal="general" vertical="center" textRotation="0" wrapText="false" indent="0" shrinkToFit="false"/>
      <protection locked="true" hidden="false"/>
    </xf>
    <xf numFmtId="170" fontId="5" fillId="3" borderId="10" xfId="0" applyFont="true" applyBorder="true" applyAlignment="true" applyProtection="false">
      <alignment horizontal="general" vertical="center" textRotation="0" wrapText="false" indent="0" shrinkToFit="false"/>
      <protection locked="true" hidden="false"/>
    </xf>
    <xf numFmtId="172" fontId="5" fillId="3" borderId="10" xfId="0" applyFont="true" applyBorder="true" applyAlignment="true" applyProtection="false">
      <alignment horizontal="general" vertical="center" textRotation="0" wrapText="false" indent="0" shrinkToFit="false"/>
      <protection locked="true" hidden="false"/>
    </xf>
    <xf numFmtId="169" fontId="5" fillId="3" borderId="8" xfId="0" applyFont="true" applyBorder="true" applyAlignment="true" applyProtection="false">
      <alignment horizontal="general" vertical="center" textRotation="0" wrapText="false" indent="0" shrinkToFit="false"/>
      <protection locked="true" hidden="false"/>
    </xf>
    <xf numFmtId="164" fontId="0" fillId="0" borderId="13" xfId="0" applyFont="true" applyBorder="true" applyAlignment="false" applyProtection="false">
      <alignment horizontal="general" vertical="bottom" textRotation="0" wrapText="false" indent="0" shrinkToFit="false"/>
      <protection locked="true" hidden="false"/>
    </xf>
    <xf numFmtId="164" fontId="0" fillId="0" borderId="14" xfId="0" applyFont="false" applyBorder="true" applyAlignment="false" applyProtection="false">
      <alignment horizontal="general" vertical="bottom" textRotation="0" wrapText="false" indent="0" shrinkToFit="false"/>
      <protection locked="true" hidden="false"/>
    </xf>
    <xf numFmtId="164" fontId="0" fillId="0" borderId="15" xfId="0" applyFont="false" applyBorder="true" applyAlignment="false" applyProtection="false">
      <alignment horizontal="general" vertical="bottom" textRotation="0" wrapText="false" indent="0" shrinkToFit="false"/>
      <protection locked="true" hidden="false"/>
    </xf>
    <xf numFmtId="164" fontId="5" fillId="3" borderId="13" xfId="0" applyFont="true" applyBorder="true" applyAlignment="false" applyProtection="false">
      <alignment horizontal="general" vertical="bottom" textRotation="0" wrapText="false" indent="0" shrinkToFit="false"/>
      <protection locked="true" hidden="false"/>
    </xf>
    <xf numFmtId="164" fontId="5" fillId="4" borderId="13" xfId="0" applyFont="true" applyBorder="true" applyAlignment="false" applyProtection="false">
      <alignment horizontal="general" vertical="bottom" textRotation="0" wrapText="false" indent="0" shrinkToFit="false"/>
      <protection locked="true" hidden="false"/>
    </xf>
    <xf numFmtId="171" fontId="0" fillId="0" borderId="13" xfId="0" applyFont="false" applyBorder="true" applyAlignment="true" applyProtection="false">
      <alignment horizontal="left" vertical="bottom" textRotation="0" wrapText="false" indent="0" shrinkToFit="false"/>
      <protection locked="true" hidden="false"/>
    </xf>
    <xf numFmtId="170" fontId="0" fillId="0" borderId="15" xfId="0" applyFont="false" applyBorder="true" applyAlignment="false" applyProtection="false">
      <alignment horizontal="general" vertical="bottom" textRotation="0" wrapText="false" indent="0" shrinkToFit="false"/>
      <protection locked="true" hidden="false"/>
    </xf>
    <xf numFmtId="164" fontId="0" fillId="0" borderId="16" xfId="0" applyFont="true" applyBorder="true" applyAlignment="false" applyProtection="false">
      <alignment horizontal="general" vertical="bottom" textRotation="0" wrapText="false" indent="0" shrinkToFit="false"/>
      <protection locked="true" hidden="false"/>
    </xf>
    <xf numFmtId="164" fontId="0" fillId="0" borderId="17" xfId="0" applyFont="false" applyBorder="true" applyAlignment="false" applyProtection="false">
      <alignment horizontal="general" vertical="bottom" textRotation="0" wrapText="false" indent="0" shrinkToFit="false"/>
      <protection locked="true" hidden="false"/>
    </xf>
    <xf numFmtId="170" fontId="0" fillId="0" borderId="18" xfId="0" applyFont="fals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left"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left" vertical="bottom" textRotation="0" wrapText="false" indent="0" shrinkToFit="false"/>
      <protection locked="true" hidden="false"/>
    </xf>
    <xf numFmtId="165" fontId="0" fillId="0" borderId="0" xfId="0" applyFont="false" applyBorder="false" applyAlignment="true" applyProtection="false">
      <alignment horizontal="center" vertical="bottom" textRotation="0" wrapText="false" indent="0" shrinkToFit="false"/>
      <protection locked="true" hidden="false"/>
    </xf>
    <xf numFmtId="173" fontId="0" fillId="0" borderId="0" xfId="0" applyFont="false" applyBorder="false" applyAlignment="true" applyProtection="false">
      <alignment horizontal="center"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65" fontId="5" fillId="2" borderId="1" xfId="0" applyFont="true" applyBorder="true" applyAlignment="true" applyProtection="false">
      <alignment horizontal="general" vertical="center" textRotation="0" wrapText="false" indent="0" shrinkToFit="false"/>
      <protection locked="true" hidden="false"/>
    </xf>
    <xf numFmtId="165" fontId="5" fillId="2" borderId="1" xfId="0" applyFont="true" applyBorder="true" applyAlignment="true" applyProtection="false">
      <alignment horizontal="center" vertical="center" textRotation="0" wrapText="false" indent="0" shrinkToFit="false"/>
      <protection locked="true" hidden="false"/>
    </xf>
    <xf numFmtId="171" fontId="5" fillId="2" borderId="1" xfId="0" applyFont="true" applyBorder="true" applyAlignment="true" applyProtection="false">
      <alignment horizontal="general" vertical="center" textRotation="0" wrapText="false" indent="0" shrinkToFit="false"/>
      <protection locked="true" hidden="false"/>
    </xf>
    <xf numFmtId="171" fontId="5" fillId="2" borderId="1" xfId="0" applyFont="true" applyBorder="true" applyAlignment="true" applyProtection="false">
      <alignment horizontal="left" vertical="center" textRotation="0" wrapText="false" indent="0" shrinkToFit="false"/>
      <protection locked="true" hidden="false"/>
    </xf>
    <xf numFmtId="170" fontId="5" fillId="2" borderId="1" xfId="0" applyFont="true" applyBorder="true" applyAlignment="true" applyProtection="false">
      <alignment horizontal="right" vertical="center" textRotation="0" wrapText="false" indent="0" shrinkToFit="false"/>
      <protection locked="true" hidden="false"/>
    </xf>
    <xf numFmtId="165" fontId="5" fillId="2" borderId="1" xfId="0" applyFont="true" applyBorder="true" applyAlignment="true" applyProtection="false">
      <alignment horizontal="left" vertical="center" textRotation="0" wrapText="false" indent="0" shrinkToFit="false"/>
      <protection locked="true" hidden="false"/>
    </xf>
    <xf numFmtId="173" fontId="5" fillId="2" borderId="1" xfId="0" applyFont="true" applyBorder="true" applyAlignment="true" applyProtection="false">
      <alignment horizontal="center" vertical="center" textRotation="0" wrapText="false" indent="0" shrinkToFit="false"/>
      <protection locked="true" hidden="false"/>
    </xf>
    <xf numFmtId="173" fontId="5" fillId="2" borderId="1" xfId="0" applyFont="true" applyBorder="true" applyAlignment="true" applyProtection="false">
      <alignment horizontal="right" vertical="center" textRotation="0" wrapText="false" indent="0" shrinkToFit="false"/>
      <protection locked="true" hidden="false"/>
    </xf>
    <xf numFmtId="165" fontId="0" fillId="0" borderId="1" xfId="0" applyFont="true" applyBorder="true" applyAlignment="false" applyProtection="false">
      <alignment horizontal="general" vertical="bottom" textRotation="0" wrapText="false" indent="0" shrinkToFit="false"/>
      <protection locked="true" hidden="false"/>
    </xf>
    <xf numFmtId="171" fontId="0" fillId="0" borderId="1" xfId="0" applyFont="true" applyBorder="true" applyAlignment="false" applyProtection="false">
      <alignment horizontal="general" vertical="bottom" textRotation="0" wrapText="false" indent="0" shrinkToFit="false"/>
      <protection locked="true" hidden="false"/>
    </xf>
    <xf numFmtId="171" fontId="0" fillId="0" borderId="1" xfId="0" applyFont="false" applyBorder="true" applyAlignment="true" applyProtection="false">
      <alignment horizontal="left" vertical="bottom" textRotation="0" wrapText="false" indent="0" shrinkToFit="false"/>
      <protection locked="true" hidden="false"/>
    </xf>
    <xf numFmtId="170" fontId="0" fillId="0" borderId="1" xfId="0" applyFont="fals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left"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73" fontId="0" fillId="0" borderId="1" xfId="0" applyFont="false" applyBorder="true" applyAlignment="true" applyProtection="false">
      <alignment horizontal="center" vertical="bottom" textRotation="0" wrapText="false" indent="0" shrinkToFit="false"/>
      <protection locked="true" hidden="false"/>
    </xf>
    <xf numFmtId="173"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general" vertical="bottom" textRotation="0" wrapText="true" indent="0" shrinkToFit="false"/>
      <protection locked="true" hidden="false"/>
    </xf>
    <xf numFmtId="164" fontId="8" fillId="5" borderId="1" xfId="20" applyFont="true" applyBorder="true" applyAlignment="false" applyProtection="false">
      <alignment horizontal="general" vertical="bottom" textRotation="0" wrapText="false" indent="0" shrinkToFit="false"/>
      <protection locked="true" hidden="false"/>
    </xf>
    <xf numFmtId="174" fontId="8" fillId="5" borderId="1" xfId="20" applyFont="true" applyBorder="true" applyAlignment="true" applyProtection="false">
      <alignment horizontal="left"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_XDO_METADATA" xfId="20"/>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Relationship Id="rId12" Type="http://schemas.openxmlformats.org/officeDocument/2006/relationships/pivotCacheDefinition" Target="pivotCache/pivotCacheDefinition1.xml"/><Relationship Id="rId13" Type="http://schemas.openxmlformats.org/officeDocument/2006/relationships/pivotCacheDefinition" Target="pivotCache/pivotCacheDefinition2.xml"/>
</Relationships>
</file>

<file path=xl/drawings/_rels/drawing1.xml.rels><?xml version="1.0" encoding="UTF-8"?>
<Relationships xmlns="http://schemas.openxmlformats.org/package/2006/relationships"><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6035040</xdr:colOff>
      <xdr:row>0</xdr:row>
      <xdr:rowOff>1559520</xdr:rowOff>
    </xdr:to>
    <xdr:pic>
      <xdr:nvPicPr>
        <xdr:cNvPr id="1" name="Picture 2" descr="image003"/>
        <xdr:cNvPicPr/>
      </xdr:nvPicPr>
      <xdr:blipFill>
        <a:blip r:embed="rId1"/>
        <a:stretch/>
      </xdr:blipFill>
      <xdr:spPr>
        <a:xfrm>
          <a:off x="0" y="0"/>
          <a:ext cx="7806600" cy="1559520"/>
        </a:xfrm>
        <a:prstGeom prst="rect">
          <a:avLst/>
        </a:prstGeom>
        <a:noFill/>
        <a:ln w="0">
          <a:noFill/>
        </a:ln>
      </xdr:spPr>
    </xdr:pic>
    <xdr:clientData/>
  </xdr:twoCellAnchor>
</xdr:wsDr>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
</Relationships>
</file>

<file path=xl/pivotCache/_rels/pivotCacheDefinition2.xml.rels><?xml version="1.0" encoding="UTF-8"?>
<Relationships xmlns="http://schemas.openxmlformats.org/package/2006/relationships"><Relationship Id="rId1" Type="http://schemas.openxmlformats.org/officeDocument/2006/relationships/pivotCacheRecords" Target="pivotCacheRecords2.xml"/>
</Relationships>
</file>

<file path=xl/pivotCache/pivotCacheDefinition1.xml><?xml version="1.0" encoding="utf-8"?>
<pivotCacheDefinition xmlns="http://schemas.openxmlformats.org/spreadsheetml/2006/main" xmlns:r="http://schemas.openxmlformats.org/officeDocument/2006/relationships" r:id="rId1" recordCount="2" createdVersion="3">
  <cacheSource type="worksheet">
    <worksheetSource ref="A1:BO3" sheet="Claims Details"/>
  </cacheSource>
  <cacheFields count="67">
    <cacheField name="Customer Account Number" numFmtId="0">
      <sharedItems count="1">
        <s v="1524368671"/>
      </sharedItems>
    </cacheField>
    <cacheField name="Policy Insured Name" numFmtId="0">
      <sharedItems count="1">
        <s v="ANDERSON UNIVERSITY"/>
      </sharedItems>
    </cacheField>
    <cacheField name="Account Location Identifier" numFmtId="0">
      <sharedItems containsBlank="1" count="2">
        <s v="South Carolina"/>
        <m/>
      </sharedItems>
    </cacheField>
    <cacheField name="Policy Symbol" numFmtId="0">
      <sharedItems count="2">
        <s v="WZ6"/>
        <s v="ZD6"/>
      </sharedItems>
    </cacheField>
    <cacheField name="Policy Number" numFmtId="0">
      <sharedItems count="2">
        <s v="J664314"/>
        <s v="J737771"/>
      </sharedItems>
    </cacheField>
    <cacheField name="Policy MOD" numFmtId="0">
      <sharedItems count="1">
        <s v="00"/>
      </sharedItems>
    </cacheField>
    <cacheField name="Policy Effective Date_Source" numFmtId="0">
      <sharedItems count="1">
        <s v="2024-06-01T00:00:00.000-04:00"/>
      </sharedItems>
    </cacheField>
    <cacheField name="Policy Effective Date" numFmtId="0">
      <sharedItems containsSemiMixedTypes="0" containsNonDate="0" containsDate="1" containsString="0" minDate="2024-06-01T00:00:00" maxDate="2024-06-01T00:00:00" count="1">
        <d v="2024-06-01T00:00:00"/>
      </sharedItems>
    </cacheField>
    <cacheField name="Policy Expiration Date_Source" numFmtId="0">
      <sharedItems count="1">
        <s v="2025-06-01T00:00:00.000-04:00"/>
      </sharedItems>
    </cacheField>
    <cacheField name="Policy Expiration Date" numFmtId="0">
      <sharedItems containsSemiMixedTypes="0" containsNonDate="0" containsDate="1" containsString="0" minDate="2025-06-01T00:00:00" maxDate="2025-06-01T00:00:00" count="1">
        <d v="2025-06-01T00:00:00"/>
      </sharedItems>
    </cacheField>
    <cacheField name="Policy Holder Claim Number" numFmtId="0">
      <sharedItems containsString="0" containsBlank="1" count="1">
        <m/>
      </sharedItems>
    </cacheField>
    <cacheField name="Agent code" numFmtId="0">
      <sharedItems count="1">
        <s v="1902824"/>
      </sharedItems>
    </cacheField>
    <cacheField name="Agent Name" numFmtId="0">
      <sharedItems count="1">
        <s v="WORLD INSURANCE ASSOC LLC     "/>
      </sharedItems>
    </cacheField>
    <cacheField name="Claim Number" numFmtId="0">
      <sharedItems count="2">
        <s v="83-00140591"/>
        <s v="85-00638846"/>
      </sharedItems>
    </cacheField>
    <cacheField name="Feature Number" numFmtId="0">
      <sharedItems count="1">
        <s v="01"/>
      </sharedItems>
    </cacheField>
    <cacheField name="Coverage" numFmtId="0">
      <sharedItems count="2">
        <s v="D &amp; O/EPLI -Claims Made-Personal Injury"/>
        <s v="WC Coverage - Other than Med"/>
      </sharedItems>
    </cacheField>
    <cacheField name="Loss Date_Source" numFmtId="0">
      <sharedItems count="2">
        <s v="2024-06-07T00:00:00.000-04:00"/>
        <s v="2024-07-22T00:00:00.000-04:00"/>
      </sharedItems>
    </cacheField>
    <cacheField name="Loss Date" numFmtId="0">
      <sharedItems containsSemiMixedTypes="0" containsNonDate="0" containsDate="1" containsString="0" minDate="2024-06-07T00:00:00" maxDate="2024-07-22T00:00:00" count="2">
        <d v="2024-06-07T00:00:00"/>
        <d v="2024-07-22T00:00:00"/>
      </sharedItems>
    </cacheField>
    <cacheField name="Accident State" numFmtId="0">
      <sharedItems count="1">
        <s v="SC"/>
      </sharedItems>
    </cacheField>
    <cacheField name="Current Loss Reserve" numFmtId="0">
      <sharedItems containsSemiMixedTypes="0" containsString="0" containsNumber="1" containsInteger="1" minValue="0" maxValue="0" count="1">
        <n v="0"/>
      </sharedItems>
    </cacheField>
    <cacheField name="Paid Loss Net Subro/Salvage" numFmtId="0">
      <sharedItems containsSemiMixedTypes="0" containsString="0" containsNumber="1" containsInteger="1" minValue="0" maxValue="0" count="1">
        <n v="0"/>
      </sharedItems>
    </cacheField>
    <cacheField name="Incurred" numFmtId="0">
      <sharedItems containsSemiMixedTypes="0" containsString="0" containsNumber="1" containsInteger="1" minValue="0" maxValue="0" count="1">
        <n v="0"/>
      </sharedItems>
    </cacheField>
    <cacheField name="Expense" numFmtId="0">
      <sharedItems containsSemiMixedTypes="0" containsString="0" containsNumber="1" containsInteger="1" minValue="0" maxValue="0" count="1">
        <n v="0"/>
      </sharedItems>
    </cacheField>
    <cacheField name="Salvage Recovery" numFmtId="0">
      <sharedItems containsSemiMixedTypes="0" containsString="0" containsNumber="1" containsInteger="1" minValue="0" maxValue="0" count="1">
        <n v="0"/>
      </sharedItems>
    </cacheField>
    <cacheField name="Subro Recovery" numFmtId="0">
      <sharedItems containsSemiMixedTypes="0" containsString="0" containsNumber="1" containsInteger="1" minValue="0" maxValue="0" count="1">
        <n v="0"/>
      </sharedItems>
    </cacheField>
    <cacheField name="Loss Recovery" numFmtId="0">
      <sharedItems containsSemiMixedTypes="0" containsString="0" containsNumber="1" containsInteger="1" minValue="0" maxValue="0" count="1">
        <n v="0"/>
      </sharedItems>
    </cacheField>
    <cacheField name="Deductible Recovery" numFmtId="0">
      <sharedItems containsSemiMixedTypes="0" containsString="0" containsNumber="1" containsInteger="1" minValue="0" maxValue="0" count="1">
        <n v="0"/>
      </sharedItems>
    </cacheField>
    <cacheField name="Recoveries" numFmtId="0">
      <sharedItems containsString="0" containsBlank="1" count="1">
        <m/>
      </sharedItems>
    </cacheField>
    <cacheField name="ALAE" numFmtId="0">
      <sharedItems containsSemiMixedTypes="0" containsString="0" containsNumber="1" containsInteger="1" minValue="0" maxValue="0" count="1">
        <n v="0"/>
      </sharedItems>
    </cacheField>
    <cacheField name="Expense Column" numFmtId="0">
      <sharedItems containsSemiMixedTypes="0" containsString="0" containsNumber="1" containsInteger="1" minValue="0" maxValue="0" count="1">
        <n v="0"/>
      </sharedItems>
    </cacheField>
    <cacheField name="Expense Recovery" numFmtId="0">
      <sharedItems containsSemiMixedTypes="0" containsString="0" containsNumber="1" containsInteger="1" minValue="0" maxValue="0" count="1">
        <n v="0"/>
      </sharedItems>
    </cacheField>
    <cacheField name="Litigation Status" numFmtId="0">
      <sharedItems containsString="0" containsBlank="1" count="1">
        <m/>
      </sharedItems>
    </cacheField>
    <cacheField name="Cause of Loss" numFmtId="0">
      <sharedItems count="2">
        <s v="Employment Practices Liability"/>
        <s v="H3-Foot"/>
      </sharedItems>
    </cacheField>
    <cacheField name="Description of Loss" numFmtId="0">
      <sharedItems count="2">
        <s v="B6-Fracture"/>
        <s v="Contractual Liability"/>
      </sharedItems>
    </cacheField>
    <cacheField name="Contributing Factor" numFmtId="0">
      <sharedItems count="2">
        <s v="Employee"/>
        <s v="N2-Strain by - Twisting"/>
      </sharedItems>
    </cacheField>
    <cacheField name="Product" numFmtId="0">
      <sharedItems containsString="0" containsBlank="1" count="1">
        <m/>
      </sharedItems>
    </cacheField>
    <cacheField name="Manufacturer" numFmtId="0">
      <sharedItems containsString="0" containsBlank="1" count="1">
        <m/>
      </sharedItems>
    </cacheField>
    <cacheField name="Policy Region Desc" numFmtId="0">
      <sharedItems containsString="0" containsBlank="1" count="1">
        <m/>
      </sharedItems>
    </cacheField>
    <cacheField name="Policy Holder Retailer Desc" numFmtId="0">
      <sharedItems containsString="0" containsBlank="1" count="1">
        <m/>
      </sharedItems>
    </cacheField>
    <cacheField name="Reported Date_Source" numFmtId="0">
      <sharedItems count="2">
        <s v="2024-06-10T00:00:00.000-04:00"/>
        <s v="2024-07-22T00:00:00.000-04:00"/>
      </sharedItems>
    </cacheField>
    <cacheField name="Reported Date" numFmtId="0">
      <sharedItems containsSemiMixedTypes="0" containsNonDate="0" containsDate="1" containsString="0" minDate="2024-06-10T00:00:00" maxDate="2024-07-22T00:00:00" count="2">
        <d v="2024-06-10T00:00:00"/>
        <d v="2024-07-22T00:00:00"/>
      </sharedItems>
    </cacheField>
    <cacheField name="Claim Status" numFmtId="0">
      <sharedItems count="1">
        <s v="closed"/>
      </sharedItems>
    </cacheField>
    <cacheField name="Claim Closed Date_Source" numFmtId="0">
      <sharedItems count="2">
        <s v="2025-02-07T00:00:00.000-05:00"/>
        <s v="2025-07-17T00:00:00.000-04:00"/>
      </sharedItems>
    </cacheField>
    <cacheField name="Claim Closed Date" numFmtId="0">
      <sharedItems containsSemiMixedTypes="0" containsNonDate="0" containsDate="1" containsString="0" minDate="2025-02-07T00:00:00" maxDate="2025-07-17T00:00:00" count="2">
        <d v="2025-02-07T00:00:00"/>
        <d v="2025-07-17T00:00:00"/>
      </sharedItems>
    </cacheField>
    <cacheField name="Claimant Name-Company" numFmtId="0">
      <sharedItems count="2">
        <s v="Garrett, Amanda"/>
        <s v="Triplet, Jennifer"/>
      </sharedItems>
    </cacheField>
    <cacheField name="Occupation" numFmtId="0">
      <sharedItems containsBlank="1" count="2">
        <s v="administrative assistant school of physical therapy"/>
        <m/>
      </sharedItems>
    </cacheField>
    <cacheField name="Accident DOW" numFmtId="0">
      <sharedItems count="2">
        <s v="Friday   "/>
        <s v="Monday   "/>
      </sharedItems>
    </cacheField>
    <cacheField name="Insured Driver" numFmtId="0">
      <sharedItems containsString="0" containsBlank="1" count="1">
        <m/>
      </sharedItems>
    </cacheField>
    <cacheField name="Total Loss Ind" numFmtId="0">
      <sharedItems containsString="0" containsBlank="1" count="1">
        <m/>
      </sharedItems>
    </cacheField>
    <cacheField name="Vehicle Year" numFmtId="0">
      <sharedItems containsString="0" containsBlank="1" count="1">
        <m/>
      </sharedItems>
    </cacheField>
    <cacheField name="Vehicle Manufacturer" numFmtId="0">
      <sharedItems containsString="0" containsBlank="1" count="1">
        <m/>
      </sharedItems>
    </cacheField>
    <cacheField name="Vehicle Model" numFmtId="0">
      <sharedItems containsString="0" containsBlank="1" count="1">
        <m/>
      </sharedItems>
    </cacheField>
    <cacheField name="Vehicle ID" numFmtId="0">
      <sharedItems containsString="0" containsBlank="1" count="1">
        <m/>
      </sharedItems>
    </cacheField>
    <cacheField name="Vehicle License Plate" numFmtId="0">
      <sharedItems containsString="0" containsBlank="1" count="1">
        <m/>
      </sharedItems>
    </cacheField>
    <cacheField name="Vehicle License State" numFmtId="0">
      <sharedItems containsString="0" containsBlank="1" count="1">
        <m/>
      </sharedItems>
    </cacheField>
    <cacheField name="Adjuster" numFmtId="0">
      <sharedItems count="2">
        <s v="CORUM, YASICA"/>
        <s v="SCIBELLI, CHRISTINE"/>
      </sharedItems>
    </cacheField>
    <cacheField name="Adjuster Email" numFmtId="0">
      <sharedItems count="2">
        <s v="CSCIBELLI@HANOVER.COM"/>
        <s v="YCORUM@HANOVER.COM"/>
      </sharedItems>
    </cacheField>
    <cacheField name="Adjuster Phone" numFmtId="0">
      <sharedItems count="1">
        <s v="8006280250"/>
      </sharedItems>
    </cacheField>
    <cacheField name="Record Source" numFmtId="0">
      <sharedItems count="1">
        <s v="HCS"/>
      </sharedItems>
    </cacheField>
    <cacheField name="RO_Ind" numFmtId="0">
      <sharedItems count="1">
        <s v="N"/>
      </sharedItems>
    </cacheField>
    <cacheField name="Expo_Ind" numFmtId="0">
      <sharedItems count="1">
        <s v="N"/>
      </sharedItems>
    </cacheField>
    <cacheField name="Curr_Versn_Ind" numFmtId="0">
      <sharedItems count="1">
        <s v="Y"/>
      </sharedItems>
    </cacheField>
    <cacheField name="Policy" numFmtId="0">
      <sharedItems count="2">
        <s v="WZ6-J664314-00"/>
        <s v="ZD6-J737771-00"/>
      </sharedItems>
    </cacheField>
    <cacheField name="Policy Year" numFmtId="0">
      <sharedItems containsSemiMixedTypes="0" containsString="0" containsNumber="1" containsInteger="1" minValue="2024" maxValue="2024" count="1">
        <n v="2024"/>
      </sharedItems>
    </cacheField>
    <cacheField name="Claim Above 25K" numFmtId="0">
      <sharedItems containsSemiMixedTypes="0" containsString="0" containsNumber="1" containsInteger="1" minValue="0" maxValue="0" count="1">
        <n v="0"/>
      </sharedItems>
    </cacheField>
    <cacheField name="Claim Feature Number" numFmtId="0">
      <sharedItems count="2">
        <s v="83-0014059101"/>
        <s v="85-0063884601"/>
      </sharedItems>
    </cacheField>
    <cacheField name="Claim Distinct" numFmtId="0">
      <sharedItems containsSemiMixedTypes="0" containsString="0" containsNumber="1" containsInteger="1" minValue="1" maxValue="1" count="1">
        <n v="1"/>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recordCount="2" createdVersion="3">
  <cacheSource type="worksheet">
    <worksheetSource ref="B1:BM3" sheet="Claims Details"/>
  </cacheSource>
  <cacheFields count="64">
    <cacheField name="Policy Insured Name" numFmtId="0">
      <sharedItems count="1">
        <s v="ANDERSON UNIVERSITY"/>
      </sharedItems>
    </cacheField>
    <cacheField name="Account Location Identifier" numFmtId="0">
      <sharedItems containsBlank="1" count="2">
        <s v="South Carolina"/>
        <m/>
      </sharedItems>
    </cacheField>
    <cacheField name="Policy Symbol" numFmtId="0">
      <sharedItems count="2">
        <s v="WZ6"/>
        <s v="ZD6"/>
      </sharedItems>
    </cacheField>
    <cacheField name="Policy Number" numFmtId="0">
      <sharedItems count="2">
        <s v="J664314"/>
        <s v="J737771"/>
      </sharedItems>
    </cacheField>
    <cacheField name="Policy MOD" numFmtId="0">
      <sharedItems count="1">
        <s v="00"/>
      </sharedItems>
    </cacheField>
    <cacheField name="Policy Effective Date_Source" numFmtId="0">
      <sharedItems count="1">
        <s v="2024-06-01T00:00:00.000-04:00"/>
      </sharedItems>
    </cacheField>
    <cacheField name="Policy Effective Date" numFmtId="0">
      <sharedItems containsSemiMixedTypes="0" containsNonDate="0" containsDate="1" containsString="0" minDate="2024-06-01T00:00:00" maxDate="2024-06-01T00:00:00" count="1">
        <d v="2024-06-01T00:00:00"/>
      </sharedItems>
    </cacheField>
    <cacheField name="Policy Expiration Date_Source" numFmtId="0">
      <sharedItems count="1">
        <s v="2025-06-01T00:00:00.000-04:00"/>
      </sharedItems>
    </cacheField>
    <cacheField name="Policy Expiration Date" numFmtId="0">
      <sharedItems containsSemiMixedTypes="0" containsNonDate="0" containsDate="1" containsString="0" minDate="2025-06-01T00:00:00" maxDate="2025-06-01T00:00:00" count="1">
        <d v="2025-06-01T00:00:00"/>
      </sharedItems>
    </cacheField>
    <cacheField name="Policy Holder Claim Number" numFmtId="0">
      <sharedItems containsString="0" containsBlank="1" count="1">
        <m/>
      </sharedItems>
    </cacheField>
    <cacheField name="Agent code" numFmtId="0">
      <sharedItems count="1">
        <s v="1902824"/>
      </sharedItems>
    </cacheField>
    <cacheField name="Agent Name" numFmtId="0">
      <sharedItems count="1">
        <s v="WORLD INSURANCE ASSOC LLC     "/>
      </sharedItems>
    </cacheField>
    <cacheField name="Claim Number" numFmtId="0">
      <sharedItems count="2">
        <s v="83-00140591"/>
        <s v="85-00638846"/>
      </sharedItems>
    </cacheField>
    <cacheField name="Feature Number" numFmtId="0">
      <sharedItems count="1">
        <s v="01"/>
      </sharedItems>
    </cacheField>
    <cacheField name="Coverage" numFmtId="0">
      <sharedItems count="2">
        <s v="D &amp; O/EPLI -Claims Made-Personal Injury"/>
        <s v="WC Coverage - Other than Med"/>
      </sharedItems>
    </cacheField>
    <cacheField name="Loss Date_Source" numFmtId="0">
      <sharedItems count="2">
        <s v="2024-06-07T00:00:00.000-04:00"/>
        <s v="2024-07-22T00:00:00.000-04:00"/>
      </sharedItems>
    </cacheField>
    <cacheField name="Loss Date" numFmtId="0">
      <sharedItems containsSemiMixedTypes="0" containsNonDate="0" containsDate="1" containsString="0" minDate="2024-06-07T00:00:00" maxDate="2024-07-22T00:00:00" count="2">
        <d v="2024-06-07T00:00:00"/>
        <d v="2024-07-22T00:00:00"/>
      </sharedItems>
    </cacheField>
    <cacheField name="Accident State" numFmtId="0">
      <sharedItems count="1">
        <s v="SC"/>
      </sharedItems>
    </cacheField>
    <cacheField name="Current Loss Reserve" numFmtId="0">
      <sharedItems containsSemiMixedTypes="0" containsString="0" containsNumber="1" containsInteger="1" minValue="0" maxValue="0" count="1">
        <n v="0"/>
      </sharedItems>
    </cacheField>
    <cacheField name="Paid Loss Net Subro/Salvage" numFmtId="0">
      <sharedItems containsSemiMixedTypes="0" containsString="0" containsNumber="1" containsInteger="1" minValue="0" maxValue="0" count="1">
        <n v="0"/>
      </sharedItems>
    </cacheField>
    <cacheField name="Incurred" numFmtId="0">
      <sharedItems containsSemiMixedTypes="0" containsString="0" containsNumber="1" containsInteger="1" minValue="0" maxValue="0" count="1">
        <n v="0"/>
      </sharedItems>
    </cacheField>
    <cacheField name="Expense" numFmtId="0">
      <sharedItems containsSemiMixedTypes="0" containsString="0" containsNumber="1" containsInteger="1" minValue="0" maxValue="0" count="1">
        <n v="0"/>
      </sharedItems>
    </cacheField>
    <cacheField name="Salvage Recovery" numFmtId="0">
      <sharedItems containsSemiMixedTypes="0" containsString="0" containsNumber="1" containsInteger="1" minValue="0" maxValue="0" count="1">
        <n v="0"/>
      </sharedItems>
    </cacheField>
    <cacheField name="Subro Recovery" numFmtId="0">
      <sharedItems containsSemiMixedTypes="0" containsString="0" containsNumber="1" containsInteger="1" minValue="0" maxValue="0" count="1">
        <n v="0"/>
      </sharedItems>
    </cacheField>
    <cacheField name="Loss Recovery" numFmtId="0">
      <sharedItems containsSemiMixedTypes="0" containsString="0" containsNumber="1" containsInteger="1" minValue="0" maxValue="0" count="1">
        <n v="0"/>
      </sharedItems>
    </cacheField>
    <cacheField name="Deductible Recovery" numFmtId="0">
      <sharedItems containsSemiMixedTypes="0" containsString="0" containsNumber="1" containsInteger="1" minValue="0" maxValue="0" count="1">
        <n v="0"/>
      </sharedItems>
    </cacheField>
    <cacheField name="Recoveries" numFmtId="0">
      <sharedItems containsString="0" containsBlank="1" count="1">
        <m/>
      </sharedItems>
    </cacheField>
    <cacheField name="ALAE" numFmtId="0">
      <sharedItems containsSemiMixedTypes="0" containsString="0" containsNumber="1" containsInteger="1" minValue="0" maxValue="0" count="1">
        <n v="0"/>
      </sharedItems>
    </cacheField>
    <cacheField name="Expense Column" numFmtId="0">
      <sharedItems containsSemiMixedTypes="0" containsString="0" containsNumber="1" containsInteger="1" minValue="0" maxValue="0" count="1">
        <n v="0"/>
      </sharedItems>
    </cacheField>
    <cacheField name="Expense Recovery" numFmtId="0">
      <sharedItems containsSemiMixedTypes="0" containsString="0" containsNumber="1" containsInteger="1" minValue="0" maxValue="0" count="1">
        <n v="0"/>
      </sharedItems>
    </cacheField>
    <cacheField name="Litigation Status" numFmtId="0">
      <sharedItems containsString="0" containsBlank="1" count="1">
        <m/>
      </sharedItems>
    </cacheField>
    <cacheField name="Cause of Loss" numFmtId="0">
      <sharedItems count="2">
        <s v="Employment Practices Liability"/>
        <s v="H3-Foot"/>
      </sharedItems>
    </cacheField>
    <cacheField name="Description of Loss" numFmtId="0">
      <sharedItems count="2">
        <s v="B6-Fracture"/>
        <s v="Contractual Liability"/>
      </sharedItems>
    </cacheField>
    <cacheField name="Contributing Factor" numFmtId="0">
      <sharedItems count="2">
        <s v="Employee"/>
        <s v="N2-Strain by - Twisting"/>
      </sharedItems>
    </cacheField>
    <cacheField name="Product" numFmtId="0">
      <sharedItems containsString="0" containsBlank="1" count="1">
        <m/>
      </sharedItems>
    </cacheField>
    <cacheField name="Manufacturer" numFmtId="0">
      <sharedItems containsString="0" containsBlank="1" count="1">
        <m/>
      </sharedItems>
    </cacheField>
    <cacheField name="Policy Region Desc" numFmtId="0">
      <sharedItems containsString="0" containsBlank="1" count="1">
        <m/>
      </sharedItems>
    </cacheField>
    <cacheField name="Policy Holder Retailer Desc" numFmtId="0">
      <sharedItems containsString="0" containsBlank="1" count="1">
        <m/>
      </sharedItems>
    </cacheField>
    <cacheField name="Reported Date_Source" numFmtId="0">
      <sharedItems count="2">
        <s v="2024-06-10T00:00:00.000-04:00"/>
        <s v="2024-07-22T00:00:00.000-04:00"/>
      </sharedItems>
    </cacheField>
    <cacheField name="Reported Date" numFmtId="0">
      <sharedItems containsSemiMixedTypes="0" containsNonDate="0" containsDate="1" containsString="0" minDate="2024-06-10T00:00:00" maxDate="2024-07-22T00:00:00" count="2">
        <d v="2024-06-10T00:00:00"/>
        <d v="2024-07-22T00:00:00"/>
      </sharedItems>
    </cacheField>
    <cacheField name="Claim Status" numFmtId="0">
      <sharedItems count="1">
        <s v="closed"/>
      </sharedItems>
    </cacheField>
    <cacheField name="Claim Closed Date_Source" numFmtId="0">
      <sharedItems count="2">
        <s v="2025-02-07T00:00:00.000-05:00"/>
        <s v="2025-07-17T00:00:00.000-04:00"/>
      </sharedItems>
    </cacheField>
    <cacheField name="Claim Closed Date" numFmtId="0">
      <sharedItems containsSemiMixedTypes="0" containsNonDate="0" containsDate="1" containsString="0" minDate="2025-02-07T00:00:00" maxDate="2025-07-17T00:00:00" count="2">
        <d v="2025-02-07T00:00:00"/>
        <d v="2025-07-17T00:00:00"/>
      </sharedItems>
    </cacheField>
    <cacheField name="Claimant Name-Company" numFmtId="0">
      <sharedItems count="2">
        <s v="Garrett, Amanda"/>
        <s v="Triplet, Jennifer"/>
      </sharedItems>
    </cacheField>
    <cacheField name="Occupation" numFmtId="0">
      <sharedItems containsBlank="1" count="2">
        <s v="administrative assistant school of physical therapy"/>
        <m/>
      </sharedItems>
    </cacheField>
    <cacheField name="Accident DOW" numFmtId="0">
      <sharedItems count="2">
        <s v="Friday   "/>
        <s v="Monday   "/>
      </sharedItems>
    </cacheField>
    <cacheField name="Insured Driver" numFmtId="0">
      <sharedItems containsString="0" containsBlank="1" count="1">
        <m/>
      </sharedItems>
    </cacheField>
    <cacheField name="Total Loss Ind" numFmtId="0">
      <sharedItems containsString="0" containsBlank="1" count="1">
        <m/>
      </sharedItems>
    </cacheField>
    <cacheField name="Vehicle Year" numFmtId="0">
      <sharedItems containsString="0" containsBlank="1" count="1">
        <m/>
      </sharedItems>
    </cacheField>
    <cacheField name="Vehicle Manufacturer" numFmtId="0">
      <sharedItems containsString="0" containsBlank="1" count="1">
        <m/>
      </sharedItems>
    </cacheField>
    <cacheField name="Vehicle Model" numFmtId="0">
      <sharedItems containsString="0" containsBlank="1" count="1">
        <m/>
      </sharedItems>
    </cacheField>
    <cacheField name="Vehicle ID" numFmtId="0">
      <sharedItems containsString="0" containsBlank="1" count="1">
        <m/>
      </sharedItems>
    </cacheField>
    <cacheField name="Vehicle License Plate" numFmtId="0">
      <sharedItems containsString="0" containsBlank="1" count="1">
        <m/>
      </sharedItems>
    </cacheField>
    <cacheField name="Vehicle License State" numFmtId="0">
      <sharedItems containsString="0" containsBlank="1" count="1">
        <m/>
      </sharedItems>
    </cacheField>
    <cacheField name="Adjuster" numFmtId="0">
      <sharedItems count="2">
        <s v="CORUM, YASICA"/>
        <s v="SCIBELLI, CHRISTINE"/>
      </sharedItems>
    </cacheField>
    <cacheField name="Adjuster Email" numFmtId="0">
      <sharedItems count="2">
        <s v="CSCIBELLI@HANOVER.COM"/>
        <s v="YCORUM@HANOVER.COM"/>
      </sharedItems>
    </cacheField>
    <cacheField name="Adjuster Phone" numFmtId="0">
      <sharedItems count="1">
        <s v="8006280250"/>
      </sharedItems>
    </cacheField>
    <cacheField name="Record Source" numFmtId="0">
      <sharedItems count="1">
        <s v="HCS"/>
      </sharedItems>
    </cacheField>
    <cacheField name="RO_Ind" numFmtId="0">
      <sharedItems count="1">
        <s v="N"/>
      </sharedItems>
    </cacheField>
    <cacheField name="Expo_Ind" numFmtId="0">
      <sharedItems count="1">
        <s v="N"/>
      </sharedItems>
    </cacheField>
    <cacheField name="Curr_Versn_Ind" numFmtId="0">
      <sharedItems count="1">
        <s v="Y"/>
      </sharedItems>
    </cacheField>
    <cacheField name="Policy" numFmtId="0">
      <sharedItems count="2">
        <s v="WZ6-J664314-00"/>
        <s v="ZD6-J737771-00"/>
      </sharedItems>
    </cacheField>
    <cacheField name="Policy Year" numFmtId="0">
      <sharedItems containsSemiMixedTypes="0" containsString="0" containsNumber="1" containsInteger="1" minValue="2024" maxValue="2024" count="1">
        <n v="2024"/>
      </sharedItems>
    </cacheField>
    <cacheField name="Claim Above 25K" numFmtId="0">
      <sharedItems containsSemiMixedTypes="0" containsString="0" containsNumber="1" containsInteger="1" minValue="0" maxValue="0" count="1">
        <n v="0"/>
      </sharedItems>
    </cacheField>
  </cacheFields>
</pivotCacheDefinition>
</file>

<file path=xl/pivotCache/pivotCacheRecords1.xml><?xml version="1.0" encoding="utf-8"?>
<pivotCacheRecords xmlns="http://schemas.openxmlformats.org/spreadsheetml/2006/main" xmlns:r="http://schemas.openxmlformats.org/officeDocument/2006/relationships" count="2">
  <r>
    <x v="0"/>
    <x v="0"/>
    <x v="0"/>
    <x v="0"/>
    <x v="0"/>
    <x v="0"/>
    <x v="0"/>
    <x v="0"/>
    <x v="0"/>
    <x v="0"/>
    <x v="0"/>
    <x v="0"/>
    <x v="0"/>
    <x v="0"/>
    <x v="0"/>
    <x v="1"/>
    <x v="0"/>
    <x v="0"/>
    <x v="0"/>
    <x v="0"/>
    <x v="0"/>
    <x v="0"/>
    <x v="0"/>
    <x v="0"/>
    <x v="0"/>
    <x v="0"/>
    <x v="0"/>
    <x v="0"/>
    <x v="0"/>
    <x v="0"/>
    <x v="0"/>
    <x v="0"/>
    <x v="1"/>
    <x v="0"/>
    <x v="1"/>
    <x v="0"/>
    <x v="0"/>
    <x v="0"/>
    <x v="0"/>
    <x v="0"/>
    <x v="0"/>
    <x v="0"/>
    <x v="0"/>
    <x v="0"/>
    <x v="0"/>
    <x v="0"/>
    <x v="0"/>
    <x v="0"/>
    <x v="0"/>
    <x v="0"/>
    <x v="0"/>
    <x v="0"/>
    <x v="0"/>
    <x v="0"/>
    <x v="0"/>
    <x v="1"/>
    <x v="0"/>
    <x v="0"/>
    <x v="0"/>
    <x v="0"/>
    <x v="0"/>
    <x v="0"/>
    <x v="0"/>
    <x v="0"/>
    <x v="0"/>
    <x v="0"/>
    <x v="0"/>
  </r>
  <r>
    <x v="0"/>
    <x v="0"/>
    <x v="1"/>
    <x v="1"/>
    <x v="1"/>
    <x v="0"/>
    <x v="0"/>
    <x v="0"/>
    <x v="0"/>
    <x v="0"/>
    <x v="0"/>
    <x v="0"/>
    <x v="0"/>
    <x v="1"/>
    <x v="0"/>
    <x v="0"/>
    <x v="1"/>
    <x v="1"/>
    <x v="0"/>
    <x v="0"/>
    <x v="0"/>
    <x v="0"/>
    <x v="0"/>
    <x v="0"/>
    <x v="0"/>
    <x v="0"/>
    <x v="0"/>
    <x v="0"/>
    <x v="0"/>
    <x v="0"/>
    <x v="0"/>
    <x v="0"/>
    <x v="0"/>
    <x v="1"/>
    <x v="0"/>
    <x v="0"/>
    <x v="0"/>
    <x v="0"/>
    <x v="0"/>
    <x v="1"/>
    <x v="1"/>
    <x v="0"/>
    <x v="1"/>
    <x v="1"/>
    <x v="1"/>
    <x v="1"/>
    <x v="1"/>
    <x v="0"/>
    <x v="0"/>
    <x v="0"/>
    <x v="0"/>
    <x v="0"/>
    <x v="0"/>
    <x v="0"/>
    <x v="0"/>
    <x v="0"/>
    <x v="1"/>
    <x v="0"/>
    <x v="0"/>
    <x v="0"/>
    <x v="0"/>
    <x v="0"/>
    <x v="1"/>
    <x v="0"/>
    <x v="0"/>
    <x v="1"/>
    <x v="0"/>
  </r>
</pivotCacheRecords>
</file>

<file path=xl/pivotCache/pivotCacheRecords2.xml><?xml version="1.0" encoding="utf-8"?>
<pivotCacheRecords xmlns="http://schemas.openxmlformats.org/spreadsheetml/2006/main" xmlns:r="http://schemas.openxmlformats.org/officeDocument/2006/relationships" count="2">
  <r>
    <x v="0"/>
    <x v="0"/>
    <x v="0"/>
    <x v="0"/>
    <x v="0"/>
    <x v="0"/>
    <x v="0"/>
    <x v="0"/>
    <x v="0"/>
    <x v="0"/>
    <x v="0"/>
    <x v="0"/>
    <x v="0"/>
    <x v="0"/>
    <x v="1"/>
    <x v="0"/>
    <x v="0"/>
    <x v="0"/>
    <x v="0"/>
    <x v="0"/>
    <x v="0"/>
    <x v="0"/>
    <x v="0"/>
    <x v="0"/>
    <x v="0"/>
    <x v="0"/>
    <x v="0"/>
    <x v="0"/>
    <x v="0"/>
    <x v="0"/>
    <x v="0"/>
    <x v="1"/>
    <x v="0"/>
    <x v="1"/>
    <x v="0"/>
    <x v="0"/>
    <x v="0"/>
    <x v="0"/>
    <x v="0"/>
    <x v="0"/>
    <x v="0"/>
    <x v="0"/>
    <x v="0"/>
    <x v="0"/>
    <x v="0"/>
    <x v="0"/>
    <x v="0"/>
    <x v="0"/>
    <x v="0"/>
    <x v="0"/>
    <x v="0"/>
    <x v="0"/>
    <x v="0"/>
    <x v="0"/>
    <x v="1"/>
    <x v="0"/>
    <x v="0"/>
    <x v="0"/>
    <x v="0"/>
    <x v="0"/>
    <x v="0"/>
    <x v="0"/>
    <x v="0"/>
    <x v="0"/>
  </r>
  <r>
    <x v="0"/>
    <x v="1"/>
    <x v="1"/>
    <x v="1"/>
    <x v="0"/>
    <x v="0"/>
    <x v="0"/>
    <x v="0"/>
    <x v="0"/>
    <x v="0"/>
    <x v="0"/>
    <x v="0"/>
    <x v="1"/>
    <x v="0"/>
    <x v="0"/>
    <x v="1"/>
    <x v="1"/>
    <x v="0"/>
    <x v="0"/>
    <x v="0"/>
    <x v="0"/>
    <x v="0"/>
    <x v="0"/>
    <x v="0"/>
    <x v="0"/>
    <x v="0"/>
    <x v="0"/>
    <x v="0"/>
    <x v="0"/>
    <x v="0"/>
    <x v="0"/>
    <x v="0"/>
    <x v="1"/>
    <x v="0"/>
    <x v="0"/>
    <x v="0"/>
    <x v="0"/>
    <x v="0"/>
    <x v="1"/>
    <x v="1"/>
    <x v="0"/>
    <x v="1"/>
    <x v="1"/>
    <x v="1"/>
    <x v="1"/>
    <x v="1"/>
    <x v="0"/>
    <x v="0"/>
    <x v="0"/>
    <x v="0"/>
    <x v="0"/>
    <x v="0"/>
    <x v="0"/>
    <x v="0"/>
    <x v="0"/>
    <x v="1"/>
    <x v="0"/>
    <x v="0"/>
    <x v="0"/>
    <x v="0"/>
    <x v="0"/>
    <x v="1"/>
    <x v="0"/>
    <x v="0"/>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Relationships xmlns="http://schemas.openxmlformats.org/package/2006/relationships"><Relationship Id="rId1" Type="http://schemas.openxmlformats.org/officeDocument/2006/relationships/pivotCacheDefinition" Target="../pivotCache/pivotCacheDefinition2.xml"/>
</Relationships>
</file>

<file path=xl/pivotTables/pivotTable1.xml><?xml version="1.0" encoding="utf-8"?>
<pivotTableDefinition xmlns="http://schemas.openxmlformats.org/spreadsheetml/2006/main" name="PivotTable1" cacheId="1" dataOnRows="0" applyNumberFormats="0" applyBorderFormats="0" applyFontFormats="0" applyPatternFormats="0" applyAlignmentFormats="0" applyWidthHeightFormats="0" dataCaption="Values" showDrill="0" useAutoFormatting="0" itemPrintTitles="1" indent="0" outline="0" outlineData="0" compact="0" compactData="0">
  <location ref="A1:C4" firstHeaderRow="2" firstDataRow="2" firstDataCol="1"/>
  <pivotFields count="67">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2">
        <item x="0"/>
        <item t="default"/>
      </items>
    </pivotField>
    <pivotField compact="0" outline="0" showAll="0"/>
    <pivotField compact="0" outline="0" showAll="0"/>
    <pivotField dataField="1" compact="0" showAll="0"/>
  </pivotFields>
  <rowFields count="1">
    <field x="63"/>
  </rowFields>
  <rowItems count="2">
    <i>
      <x/>
    </i>
    <i t="grand">
      <x/>
    </i>
  </rowItems>
  <colFields count="1">
    <field x="-2"/>
  </colFields>
  <colItems count="2">
    <i/>
    <i/>
  </colItems>
  <dataFields count="2">
    <dataField name="Total Claims" fld="66" subtotal="sum" numFmtId="164"/>
    <dataField name="Total $ Incurred" fld="21" subtotal="sum" numFmtId="170"/>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PivotTable1" cacheId="1" dataOnRows="0" applyNumberFormats="0" applyBorderFormats="0" applyFontFormats="0" applyPatternFormats="0" applyAlignmentFormats="0" applyWidthHeightFormats="0" dataCaption="Values" showDrill="0" useAutoFormatting="0" itemPrintTitles="1" indent="0" outline="0" outlineData="0" compact="0" compactData="0">
  <location ref="A5:S10" firstHeaderRow="2" firstDataRow="2" firstDataCol="12" rowPageCount="3" colPageCount="1"/>
  <pivotFields count="67">
    <pivotField compact="0" outline="0" showAll="0"/>
    <pivotField compact="0" outline="0" showAll="0"/>
    <pivotField axis="axisRow" compact="0" outline="0" showAll="0" defaultSubtotal="0">
      <items count="2">
        <item x="0"/>
        <item x="1"/>
      </items>
    </pivotField>
    <pivotField axis="axisPage" compact="0" outline="0" showAll="0">
      <items count="3">
        <item x="0"/>
        <item x="1"/>
        <item t="default"/>
      </items>
    </pivotField>
    <pivotField compact="0" outline="0" showAll="0"/>
    <pivotField compact="0" outline="0" showAll="0"/>
    <pivotField compact="0" outline="0" showAll="0"/>
    <pivotField axis="axisRow" compact="0" outline="0" showAll="0" defaultSubtotal="0">
      <items count="1">
        <item x="0"/>
      </items>
    </pivotField>
    <pivotField compact="0" outline="0" showAll="0"/>
    <pivotField compact="0" outline="0" showAll="0"/>
    <pivotField compact="0" outline="0" showAll="0"/>
    <pivotField compact="0" outline="0" showAll="0"/>
    <pivotField compact="0" outline="0" showAll="0"/>
    <pivotField axis="axisRow" compact="0" outline="0" showAll="0" defaultSubtotal="0">
      <items count="2">
        <item x="0"/>
        <item x="1"/>
      </items>
    </pivotField>
    <pivotField compact="0" outline="0" showAll="0"/>
    <pivotField compact="0" outline="0" showAll="0"/>
    <pivotField compact="0" outline="0" showAll="0"/>
    <pivotField compact="0" outline="0" showAll="0"/>
    <pivotField compact="0" outline="0" showAll="0"/>
    <pivotField dataField="1" compact="0" showAll="0"/>
    <pivotField dataField="1" compact="0" showAll="0"/>
    <pivotField dataField="1" compact="0" showAll="0"/>
    <pivotField dataField="1" compact="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2">
        <item x="0"/>
        <item t="default"/>
      </items>
    </pivotField>
    <pivotField axis="axisRow" compact="0" outline="0" showAll="0" defaultSubtotal="0">
      <items count="2">
        <item x="0"/>
        <item x="1"/>
      </items>
    </pivotField>
    <pivotField axis="axisRow" compact="0" outline="0" showAll="0" defaultSubtotal="0">
      <items count="2">
        <item x="0"/>
        <item x="1"/>
      </items>
    </pivotField>
    <pivotField axis="axisRow" compact="0" outline="0" showAll="0" defaultSubtotal="0">
      <items count="2">
        <item x="0"/>
        <item x="1"/>
      </items>
    </pivotField>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2">
        <item x="0"/>
        <item t="default"/>
      </items>
    </pivotField>
    <pivotField compact="0" outline="0" showAll="0"/>
    <pivotField compact="0" outline="0" showAll="0"/>
    <pivotField axis="axisRow" compact="0" outline="0" showAll="0" defaultSubtotal="0">
      <items count="2">
        <item x="0"/>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2">
        <item x="0"/>
        <item x="1"/>
      </items>
    </pivotField>
    <pivotField axis="axisRow" compact="0" outline="0" showAll="0" defaultSubtotal="0">
      <items count="2">
        <item x="0"/>
        <item x="1"/>
      </items>
    </pivotField>
    <pivotField axis="axisRow" compact="0" outline="0" showAll="0" defaultSubtotal="0">
      <items count="1">
        <item x="0"/>
      </items>
    </pivotField>
    <pivotField compact="0" outline="0" showAll="0"/>
    <pivotField compact="0" outline="0" showAll="0"/>
    <pivotField compact="0" outline="0" showAll="0"/>
    <pivotField compact="0" outline="0" showAll="0"/>
    <pivotField axis="axisRow" compact="0" outline="0" showAll="0" defaultSubtotal="0">
      <items count="2">
        <item x="0"/>
        <item x="1"/>
      </items>
    </pivotField>
    <pivotField axis="axisRow" compact="0" outline="0" showAll="0">
      <items count="2">
        <item x="0"/>
        <item t="default"/>
      </items>
    </pivotField>
    <pivotField dataField="1" compact="0" showAll="0"/>
    <pivotField dataField="1" compact="0" showAll="0"/>
    <pivotField dataField="1" compact="0" showAll="0"/>
  </pivotFields>
  <rowFields count="12">
    <field x="63"/>
    <field x="62"/>
    <field x="7"/>
    <field x="2"/>
    <field x="13"/>
    <field x="32"/>
    <field x="33"/>
    <field x="34"/>
    <field x="44"/>
    <field x="55"/>
    <field x="56"/>
    <field x="57"/>
  </rowFields>
  <rowItems count="4">
    <i>
      <x/>
      <x/>
      <x/>
      <x/>
      <x/>
      <x v="1"/>
      <x/>
      <x v="1"/>
      <x/>
      <x v="1"/>
      <x/>
      <x/>
    </i>
    <i r="1">
      <x v="1"/>
      <x/>
      <x v="1"/>
      <x/>
      <x v="1"/>
      <x/>
      <x v="1"/>
      <x/>
      <x v="1"/>
      <x/>
    </i>
    <i t="default">
      <x/>
    </i>
    <i t="grand">
      <x/>
    </i>
  </rowItems>
  <colFields count="1">
    <field x="-2"/>
  </colFields>
  <colItems count="7">
    <i/>
    <i/>
    <i/>
    <i/>
    <i/>
    <i/>
    <i/>
  </colItems>
  <pageFields count="3">
    <pageField fld="41" hier="-1"/>
    <pageField fld="31" hier="-1"/>
    <pageField fld="3" hier="-1"/>
  </pageFields>
  <dataFields count="7">
    <dataField name="Total Claims" fld="66" subtotal="sum" numFmtId="164"/>
    <dataField name="Total Features" fld="65" subtotal="count" numFmtId="164"/>
    <dataField name="Total Outstanding" fld="19" subtotal="sum" numFmtId="170"/>
    <dataField name="Total Paid" fld="20" subtotal="sum" numFmtId="170"/>
    <dataField name="Total Incurred" fld="21" subtotal="sum" numFmtId="170"/>
    <dataField name="Total Expense" fld="22" subtotal="sum" numFmtId="170"/>
    <dataField name="Claims Above 25K" fld="64" subtotal="sum" numFmtId="173"/>
  </dataFields>
  <pivotTableStyleInfo name="PivotStyleLight16" showRowHeaders="1" showColHeaders="1" showRowStripes="0" showColStripes="0" showLastColumn="1"/>
</pivotTableDefinition>
</file>

<file path=xl/pivotTables/pivotTable3.xml><?xml version="1.0" encoding="utf-8"?>
<pivotTableDefinition xmlns="http://schemas.openxmlformats.org/spreadsheetml/2006/main" name="PivotTable1" cacheId="2" dataOnRows="0" applyNumberFormats="0" applyBorderFormats="0" applyFontFormats="0" applyPatternFormats="0" applyAlignmentFormats="0" applyWidthHeightFormats="0" dataCaption="Values" showDrill="0" useAutoFormatting="0" itemPrintTitles="1" indent="0" outline="0" outlineData="0" compact="0" compactData="0">
  <location ref="A3:I7" firstHeaderRow="2" firstDataRow="2" firstDataCol="8"/>
  <pivotFields count="64">
    <pivotField compact="0" outline="0" showAll="0"/>
    <pivotField compact="0" outline="0" showAll="0"/>
    <pivotField axis="axisRow" compact="0" outline="0" showAll="0" defaultSubtotal="0">
      <items count="2">
        <item x="0"/>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2">
        <item x="0"/>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2">
        <item x="0"/>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2">
        <item x="0"/>
        <item x="1"/>
      </items>
    </pivotField>
    <pivotField axis="axisRow" compact="0" outline="0" showAll="0" defaultSubtotal="0">
      <items count="1">
        <item x="0"/>
      </items>
    </pivotField>
    <pivotField compact="0" outline="0" showAll="0"/>
    <pivotField axis="axisRow" compact="0" outline="0" showAll="0" defaultSubtotal="0">
      <items count="2">
        <item x="0"/>
        <item x="1"/>
      </items>
    </pivotField>
    <pivotField axis="axisRow" compact="0" outline="0" showAll="0" defaultSubtotal="0">
      <items count="2">
        <item x="0"/>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2">
        <item x="0"/>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8">
    <field x="12"/>
    <field x="43"/>
    <field x="54"/>
    <field x="2"/>
    <field x="31"/>
    <field x="39"/>
    <field x="40"/>
    <field x="42"/>
  </rowFields>
  <rowItems count="3">
    <i>
      <x/>
      <x/>
      <x v="1"/>
      <x/>
      <x v="1"/>
      <x/>
      <x/>
      <x/>
    </i>
    <i>
      <x v="1"/>
      <x v="1"/>
      <x/>
      <x v="1"/>
      <x/>
      <x v="1"/>
      <x/>
      <x v="1"/>
    </i>
    <i t="grand">
      <x/>
    </i>
  </rowItems>
  <colItems count="1">
    <i/>
  </colItems>
  <dataFields count="1">
    <dataField name="Total Incurred" fld="20" subtotal="sum" numFmtId="170"/>
  </dataFields>
  <pivotTableStyleInfo name="PivotStyleLight16" showRowHeaders="1" showColHeaders="1" showRowStripes="0" showColStripes="0" showLastColumn="1"/>
</pivotTableDefinition>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pivotTable" Target="../pivotTables/pivotTable1.xml"/>
</Relationships>
</file>

<file path=xl/worksheets/_rels/sheet3.xml.rels><?xml version="1.0" encoding="UTF-8"?>
<Relationships xmlns="http://schemas.openxmlformats.org/package/2006/relationships"><Relationship Id="rId1" Type="http://schemas.openxmlformats.org/officeDocument/2006/relationships/pivotTable" Target="../pivotTables/pivotTable2.xml"/>
</Relationships>
</file>

<file path=xl/worksheets/_rels/sheet4.xml.rels><?xml version="1.0" encoding="UTF-8"?>
<Relationships xmlns="http://schemas.openxmlformats.org/package/2006/relationships"><Relationship Id="rId1" Type="http://schemas.openxmlformats.org/officeDocument/2006/relationships/pivotTable" Target="../pivotTables/pivot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96484375" defaultRowHeight="15" customHeight="false" zeroHeight="false" outlineLevelRow="0" outlineLevelCol="0"/>
  <cols>
    <col collapsed="false" customWidth="true" hidden="false" outlineLevel="0" max="1" min="1" style="0" width="25.13"/>
    <col collapsed="false" customWidth="true" hidden="false" outlineLevel="0" max="2" min="2" style="0" width="85.7"/>
    <col collapsed="false" customWidth="true" hidden="false" outlineLevel="0" max="3" min="3" style="0" width="17.14"/>
    <col collapsed="false" customWidth="true" hidden="false" outlineLevel="0" max="4" min="4" style="0" width="13.85"/>
    <col collapsed="false" customWidth="true" hidden="false" outlineLevel="0" max="5" min="5" style="0" width="15.28"/>
    <col collapsed="false" customWidth="true" hidden="false" outlineLevel="0" max="6" min="6" style="0" width="13.56"/>
    <col collapsed="false" customWidth="true" hidden="false" outlineLevel="0" max="7" min="7" style="0" width="10.99"/>
  </cols>
  <sheetData>
    <row r="1" customFormat="false" ht="123.75" hidden="false" customHeight="true" outlineLevel="0" collapsed="false">
      <c r="A1" s="1"/>
      <c r="B1" s="1"/>
    </row>
    <row r="2" customFormat="false" ht="29.25" hidden="false" customHeight="true" outlineLevel="0" collapsed="false">
      <c r="A2" s="2" t="s">
        <v>0</v>
      </c>
      <c r="B2" s="3" t="str">
        <f aca="false">Accounts!A2</f>
        <v>1524368671</v>
      </c>
    </row>
    <row r="3" customFormat="false" ht="29.25" hidden="false" customHeight="true" outlineLevel="0" collapsed="false">
      <c r="A3" s="2" t="s">
        <v>1</v>
      </c>
      <c r="B3" s="3" t="str">
        <f aca="false">Accounts!C2</f>
        <v>Anderson University (South Carolina)</v>
      </c>
    </row>
    <row r="4" customFormat="false" ht="29.25" hidden="false" customHeight="true" outlineLevel="0" collapsed="false">
      <c r="A4" s="2" t="s">
        <v>2</v>
      </c>
      <c r="B4" s="4" t="str">
        <f aca="false">Accounts!B2</f>
        <v>08/20/2026</v>
      </c>
    </row>
    <row r="5" customFormat="false" ht="104.25" hidden="false" customHeight="true" outlineLevel="0" collapsed="false">
      <c r="A5" s="5" t="s">
        <v>3</v>
      </c>
      <c r="B5" s="5"/>
      <c r="E5" s="6"/>
    </row>
    <row r="6" customFormat="false" ht="30.75" hidden="false" customHeight="true" outlineLevel="0" collapsed="false">
      <c r="A6" s="5" t="s">
        <v>4</v>
      </c>
      <c r="B6" s="5"/>
    </row>
    <row r="8" customFormat="false" ht="15" hidden="false" customHeight="false" outlineLevel="0" collapsed="false">
      <c r="F8" s="7"/>
    </row>
    <row r="10" customFormat="false" ht="15" hidden="false" customHeight="false" outlineLevel="0" collapsed="false">
      <c r="C10" s="8"/>
    </row>
  </sheetData>
  <mergeCells count="3">
    <mergeCell ref="A1:B1"/>
    <mergeCell ref="A5:B5"/>
    <mergeCell ref="A6:B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2" activeCellId="0" sqref="C12"/>
    </sheetView>
  </sheetViews>
  <sheetFormatPr defaultColWidth="8.96484375" defaultRowHeight="15" customHeight="false" zeroHeight="false" outlineLevelRow="0" outlineLevelCol="0"/>
  <cols>
    <col collapsed="false" customWidth="true" hidden="false" outlineLevel="0" max="1" min="1" style="0" width="12.85"/>
    <col collapsed="false" customWidth="true" hidden="false" outlineLevel="0" max="2" min="2" style="0" width="11.7"/>
    <col collapsed="false" customWidth="true" hidden="false" outlineLevel="0" max="3" min="3" style="0" width="14.85"/>
  </cols>
  <sheetData>
    <row r="1" customFormat="false" ht="15" hidden="false" customHeight="false" outlineLevel="0" collapsed="false">
      <c r="A1" s="9"/>
      <c r="B1" s="10" t="s">
        <v>5</v>
      </c>
      <c r="C1" s="11"/>
    </row>
    <row r="2" customFormat="false" ht="15" hidden="false" customHeight="false" outlineLevel="0" collapsed="false">
      <c r="A2" s="10" t="s">
        <v>6</v>
      </c>
      <c r="B2" s="9" t="s">
        <v>7</v>
      </c>
      <c r="C2" s="12" t="s">
        <v>8</v>
      </c>
    </row>
    <row r="3" customFormat="false" ht="15" hidden="false" customHeight="false" outlineLevel="0" collapsed="false">
      <c r="A3" s="9" t="n">
        <v>2007</v>
      </c>
      <c r="B3" s="13" t="n">
        <v>1</v>
      </c>
      <c r="C3" s="14" t="n">
        <v>0</v>
      </c>
    </row>
    <row r="4" customFormat="false" ht="15" hidden="false" customHeight="false" outlineLevel="0" collapsed="false">
      <c r="A4" s="15" t="s">
        <v>5</v>
      </c>
      <c r="B4" s="16"/>
      <c r="C4" s="17"/>
    </row>
    <row r="5" customFormat="false" ht="15" hidden="false" customHeight="false" outlineLevel="0" collapsed="false">
      <c r="A5" s="18" t="s">
        <v>9</v>
      </c>
      <c r="B5" s="19" t="n">
        <v>1</v>
      </c>
      <c r="C5" s="2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3671875" defaultRowHeight="15" customHeight="false" zeroHeight="false" outlineLevelRow="0" outlineLevelCol="0"/>
  <cols>
    <col collapsed="false" customWidth="true" hidden="false" outlineLevel="0" max="1" min="1" style="21" width="20.7"/>
    <col collapsed="false" customWidth="true" hidden="false" outlineLevel="0" max="2" min="2" style="22" width="15.7"/>
    <col collapsed="false" customWidth="true" hidden="false" outlineLevel="0" max="3" min="3" style="22" width="21.7"/>
    <col collapsed="false" customWidth="true" hidden="false" outlineLevel="0" max="4" min="4" style="22" width="27.56"/>
    <col collapsed="false" customWidth="true" hidden="false" outlineLevel="0" max="5" min="5" style="22" width="16.13"/>
    <col collapsed="false" customWidth="true" hidden="false" outlineLevel="0" max="6" min="6" style="22" width="14.99"/>
    <col collapsed="false" customWidth="true" hidden="false" outlineLevel="0" max="7" min="7" style="22" width="20.13"/>
    <col collapsed="false" customWidth="true" hidden="false" outlineLevel="0" max="8" min="8" style="22" width="20.56"/>
    <col collapsed="false" customWidth="true" hidden="false" outlineLevel="0" max="9" min="9" style="22" width="26.28"/>
    <col collapsed="false" customWidth="true" hidden="false" outlineLevel="0" max="10" min="10" style="22" width="12.7"/>
    <col collapsed="false" customWidth="true" hidden="false" outlineLevel="0" max="11" min="11" style="22" width="25.85"/>
    <col collapsed="false" customWidth="true" hidden="false" outlineLevel="0" max="12" min="12" style="22" width="17.14"/>
    <col collapsed="false" customWidth="true" hidden="false" outlineLevel="0" max="13" min="13" style="22" width="11.7"/>
    <col collapsed="false" customWidth="true" hidden="false" outlineLevel="0" max="14" min="14" style="22" width="13.7"/>
    <col collapsed="false" customWidth="true" hidden="false" outlineLevel="0" max="15" min="15" style="22" width="16.84"/>
    <col collapsed="false" customWidth="true" hidden="false" outlineLevel="0" max="16" min="16" style="22" width="9.7"/>
    <col collapsed="false" customWidth="true" hidden="false" outlineLevel="0" max="18" min="17" style="22" width="13.41"/>
    <col collapsed="false" customWidth="true" hidden="false" outlineLevel="0" max="20" min="19" style="22" width="16.7"/>
    <col collapsed="false" customWidth="false" hidden="false" outlineLevel="0" max="257" min="21" style="22" width="9.14"/>
  </cols>
  <sheetData>
    <row r="1" customFormat="false" ht="15" hidden="false" customHeight="false" outlineLevel="0" collapsed="false">
      <c r="A1" s="23" t="s">
        <v>10</v>
      </c>
      <c r="B1" s="24" t="s">
        <v>11</v>
      </c>
    </row>
    <row r="2" customFormat="false" ht="15" hidden="false" customHeight="false" outlineLevel="0" collapsed="false">
      <c r="A2" s="23" t="s">
        <v>12</v>
      </c>
      <c r="B2" s="24" t="s">
        <v>11</v>
      </c>
    </row>
    <row r="3" customFormat="false" ht="15" hidden="false" customHeight="false" outlineLevel="0" collapsed="false">
      <c r="A3" s="24" t="s">
        <v>13</v>
      </c>
      <c r="B3" s="24" t="s">
        <v>11</v>
      </c>
    </row>
    <row r="4" customFormat="false" ht="15" hidden="false" customHeight="false" outlineLevel="0" collapsed="false">
      <c r="A4" s="0"/>
      <c r="B4" s="0"/>
      <c r="C4" s="0"/>
      <c r="D4" s="0"/>
      <c r="E4" s="0"/>
      <c r="F4" s="0"/>
      <c r="G4" s="0"/>
      <c r="H4" s="0"/>
      <c r="I4" s="0"/>
      <c r="J4" s="0"/>
      <c r="K4" s="0"/>
      <c r="L4" s="0"/>
      <c r="M4" s="0"/>
      <c r="N4" s="0"/>
      <c r="O4" s="0"/>
      <c r="P4" s="0"/>
      <c r="Q4" s="0"/>
      <c r="R4" s="0"/>
      <c r="S4" s="0"/>
      <c r="T4" s="0"/>
    </row>
    <row r="5" customFormat="false" ht="15" hidden="false" customHeight="false" outlineLevel="0" collapsed="false">
      <c r="A5" s="25"/>
      <c r="B5" s="26"/>
      <c r="C5" s="26"/>
      <c r="D5" s="26"/>
      <c r="E5" s="26"/>
      <c r="F5" s="26"/>
      <c r="G5" s="26"/>
      <c r="H5" s="26"/>
      <c r="I5" s="26"/>
      <c r="J5" s="26"/>
      <c r="K5" s="26"/>
      <c r="L5" s="26"/>
      <c r="M5" s="27" t="s">
        <v>5</v>
      </c>
      <c r="N5" s="28"/>
      <c r="O5" s="28"/>
      <c r="P5" s="28"/>
      <c r="Q5" s="28"/>
      <c r="R5" s="28"/>
      <c r="S5" s="29"/>
      <c r="T5" s="0"/>
    </row>
    <row r="6" customFormat="false" ht="15" hidden="false" customHeight="false" outlineLevel="0" collapsed="false">
      <c r="A6" s="30" t="s">
        <v>6</v>
      </c>
      <c r="B6" s="31" t="s">
        <v>14</v>
      </c>
      <c r="C6" s="31" t="s">
        <v>15</v>
      </c>
      <c r="D6" s="31" t="s">
        <v>16</v>
      </c>
      <c r="E6" s="31" t="s">
        <v>17</v>
      </c>
      <c r="F6" s="31" t="s">
        <v>18</v>
      </c>
      <c r="G6" s="31" t="s">
        <v>19</v>
      </c>
      <c r="H6" s="31" t="s">
        <v>20</v>
      </c>
      <c r="I6" s="31" t="s">
        <v>21</v>
      </c>
      <c r="J6" s="31" t="s">
        <v>22</v>
      </c>
      <c r="K6" s="31" t="s">
        <v>23</v>
      </c>
      <c r="L6" s="31" t="s">
        <v>24</v>
      </c>
      <c r="M6" s="32" t="s">
        <v>7</v>
      </c>
      <c r="N6" s="33" t="s">
        <v>25</v>
      </c>
      <c r="O6" s="34" t="s">
        <v>26</v>
      </c>
      <c r="P6" s="35" t="s">
        <v>27</v>
      </c>
      <c r="Q6" s="32" t="s">
        <v>28</v>
      </c>
      <c r="R6" s="33" t="s">
        <v>29</v>
      </c>
      <c r="S6" s="34" t="s">
        <v>30</v>
      </c>
      <c r="T6" s="0"/>
    </row>
    <row r="7" customFormat="false" ht="15" hidden="false" customHeight="false" outlineLevel="0" collapsed="false">
      <c r="A7" s="36" t="n">
        <v>2007</v>
      </c>
      <c r="B7" s="27" t="s">
        <v>31</v>
      </c>
      <c r="C7" s="37" t="n">
        <v>39295</v>
      </c>
      <c r="D7" s="27" t="s">
        <v>32</v>
      </c>
      <c r="E7" s="27" t="s">
        <v>33</v>
      </c>
      <c r="F7" s="27" t="s">
        <v>34</v>
      </c>
      <c r="G7" s="27" t="s">
        <v>34</v>
      </c>
      <c r="H7" s="27" t="s">
        <v>34</v>
      </c>
      <c r="I7" s="27" t="s">
        <v>35</v>
      </c>
      <c r="J7" s="27" t="s">
        <v>36</v>
      </c>
      <c r="K7" s="27" t="s">
        <v>37</v>
      </c>
      <c r="L7" s="27" t="s">
        <v>38</v>
      </c>
      <c r="M7" s="38" t="n">
        <v>1</v>
      </c>
      <c r="N7" s="39" t="n">
        <v>1</v>
      </c>
      <c r="O7" s="40" t="n">
        <v>0</v>
      </c>
      <c r="P7" s="41" t="n">
        <v>0</v>
      </c>
      <c r="Q7" s="40" t="n">
        <v>0</v>
      </c>
      <c r="R7" s="40" t="n">
        <v>0</v>
      </c>
      <c r="S7" s="42" t="n">
        <v>0</v>
      </c>
      <c r="T7" s="0"/>
    </row>
    <row r="8" customFormat="false" ht="15" hidden="false" customHeight="false" outlineLevel="0" collapsed="false">
      <c r="A8" s="43" t="s">
        <v>39</v>
      </c>
      <c r="B8" s="44"/>
      <c r="C8" s="44"/>
      <c r="D8" s="44"/>
      <c r="E8" s="44"/>
      <c r="F8" s="44"/>
      <c r="G8" s="44"/>
      <c r="H8" s="44"/>
      <c r="I8" s="44"/>
      <c r="J8" s="44"/>
      <c r="K8" s="44"/>
      <c r="L8" s="44"/>
      <c r="M8" s="45" t="n">
        <v>1</v>
      </c>
      <c r="N8" s="46" t="n">
        <v>1</v>
      </c>
      <c r="O8" s="47" t="n">
        <v>0</v>
      </c>
      <c r="P8" s="48" t="n">
        <v>0</v>
      </c>
      <c r="Q8" s="47" t="n">
        <v>0</v>
      </c>
      <c r="R8" s="47" t="n">
        <v>0</v>
      </c>
      <c r="S8" s="49" t="n">
        <v>0</v>
      </c>
      <c r="T8" s="0"/>
    </row>
    <row r="9" customFormat="false" ht="15" hidden="false" customHeight="false" outlineLevel="0" collapsed="false">
      <c r="A9" s="25" t="s">
        <v>40</v>
      </c>
      <c r="B9" s="27" t="s">
        <v>40</v>
      </c>
      <c r="C9" s="27" t="s">
        <v>40</v>
      </c>
      <c r="D9" s="27" t="s">
        <v>40</v>
      </c>
      <c r="E9" s="27" t="s">
        <v>40</v>
      </c>
      <c r="F9" s="27" t="s">
        <v>40</v>
      </c>
      <c r="G9" s="27" t="s">
        <v>40</v>
      </c>
      <c r="H9" s="27" t="s">
        <v>40</v>
      </c>
      <c r="I9" s="27" t="s">
        <v>40</v>
      </c>
      <c r="J9" s="27" t="s">
        <v>40</v>
      </c>
      <c r="K9" s="27" t="s">
        <v>40</v>
      </c>
      <c r="L9" s="27" t="s">
        <v>40</v>
      </c>
      <c r="M9" s="38"/>
      <c r="N9" s="39"/>
      <c r="O9" s="40"/>
      <c r="P9" s="41"/>
      <c r="Q9" s="40"/>
      <c r="R9" s="40"/>
      <c r="S9" s="42"/>
      <c r="T9" s="0"/>
    </row>
    <row r="10" customFormat="false" ht="15" hidden="false" customHeight="false" outlineLevel="0" collapsed="false">
      <c r="A10" s="43" t="s">
        <v>41</v>
      </c>
      <c r="B10" s="44"/>
      <c r="C10" s="44"/>
      <c r="D10" s="44"/>
      <c r="E10" s="44"/>
      <c r="F10" s="44"/>
      <c r="G10" s="44"/>
      <c r="H10" s="44"/>
      <c r="I10" s="44"/>
      <c r="J10" s="44"/>
      <c r="K10" s="44"/>
      <c r="L10" s="44"/>
      <c r="M10" s="45"/>
      <c r="N10" s="46"/>
      <c r="O10" s="47"/>
      <c r="P10" s="48"/>
      <c r="Q10" s="47"/>
      <c r="R10" s="47"/>
      <c r="S10" s="49"/>
      <c r="T10" s="0"/>
    </row>
    <row r="11" customFormat="false" ht="15" hidden="false" customHeight="false" outlineLevel="0" collapsed="false">
      <c r="A11" s="50" t="s">
        <v>9</v>
      </c>
      <c r="B11" s="51"/>
      <c r="C11" s="51"/>
      <c r="D11" s="51"/>
      <c r="E11" s="51"/>
      <c r="F11" s="51"/>
      <c r="G11" s="51"/>
      <c r="H11" s="51"/>
      <c r="I11" s="51"/>
      <c r="J11" s="51"/>
      <c r="K11" s="51"/>
      <c r="L11" s="51"/>
      <c r="M11" s="52" t="n">
        <v>1</v>
      </c>
      <c r="N11" s="53" t="n">
        <v>1</v>
      </c>
      <c r="O11" s="54" t="n">
        <v>0</v>
      </c>
      <c r="P11" s="55" t="n">
        <v>0</v>
      </c>
      <c r="Q11" s="54" t="n">
        <v>0</v>
      </c>
      <c r="R11" s="54" t="n">
        <v>0</v>
      </c>
      <c r="S11" s="56" t="n">
        <v>0</v>
      </c>
      <c r="T11" s="0"/>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I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3" activeCellId="0" sqref="E13"/>
    </sheetView>
  </sheetViews>
  <sheetFormatPr defaultColWidth="8.96484375" defaultRowHeight="15" customHeight="false" zeroHeight="false" outlineLevelRow="0" outlineLevelCol="0"/>
  <cols>
    <col collapsed="false" customWidth="true" hidden="false" outlineLevel="0" max="1" min="1" style="0" width="22.85"/>
    <col collapsed="false" customWidth="true" hidden="false" outlineLevel="0" max="2" min="2" style="0" width="26.13"/>
    <col collapsed="false" customWidth="true" hidden="false" outlineLevel="0" max="3" min="3" style="0" width="27.42"/>
    <col collapsed="false" customWidth="true" hidden="false" outlineLevel="0" max="4" min="4" style="0" width="22.99"/>
    <col collapsed="false" customWidth="true" hidden="false" outlineLevel="0" max="6" min="5" style="0" width="19.56"/>
    <col collapsed="false" customWidth="true" hidden="false" outlineLevel="0" max="7" min="7" style="0" width="12.7"/>
    <col collapsed="false" customWidth="true" hidden="false" outlineLevel="0" max="8" min="8" style="0" width="19.56"/>
    <col collapsed="false" customWidth="true" hidden="false" outlineLevel="0" max="9" min="9" style="0" width="8.7"/>
  </cols>
  <sheetData>
    <row r="3" customFormat="false" ht="15" hidden="false" customHeight="false" outlineLevel="0" collapsed="false">
      <c r="A3" s="57" t="s">
        <v>28</v>
      </c>
      <c r="B3" s="58"/>
      <c r="C3" s="58"/>
      <c r="D3" s="58"/>
      <c r="E3" s="58"/>
      <c r="F3" s="58"/>
      <c r="G3" s="58"/>
      <c r="H3" s="58"/>
      <c r="I3" s="59"/>
    </row>
    <row r="4" customFormat="false" ht="15" hidden="false" customHeight="false" outlineLevel="0" collapsed="false">
      <c r="A4" s="60" t="s">
        <v>17</v>
      </c>
      <c r="B4" s="60" t="s">
        <v>21</v>
      </c>
      <c r="C4" s="60" t="s">
        <v>22</v>
      </c>
      <c r="D4" s="60" t="s">
        <v>13</v>
      </c>
      <c r="E4" s="60" t="s">
        <v>18</v>
      </c>
      <c r="F4" s="60" t="s">
        <v>42</v>
      </c>
      <c r="G4" s="60" t="s">
        <v>10</v>
      </c>
      <c r="H4" s="60" t="s">
        <v>43</v>
      </c>
      <c r="I4" s="59" t="s">
        <v>44</v>
      </c>
    </row>
    <row r="5" customFormat="false" ht="15" hidden="false" customHeight="false" outlineLevel="0" collapsed="false">
      <c r="A5" s="57" t="s">
        <v>33</v>
      </c>
      <c r="B5" s="57" t="s">
        <v>35</v>
      </c>
      <c r="C5" s="57" t="s">
        <v>36</v>
      </c>
      <c r="D5" s="57" t="s">
        <v>45</v>
      </c>
      <c r="E5" s="57" t="s">
        <v>34</v>
      </c>
      <c r="F5" s="62" t="n">
        <v>39552</v>
      </c>
      <c r="G5" s="57" t="s">
        <v>46</v>
      </c>
      <c r="H5" s="62" t="n">
        <v>42824</v>
      </c>
      <c r="I5" s="63" t="n">
        <v>0</v>
      </c>
    </row>
    <row r="6" customFormat="false" ht="15" hidden="false" customHeight="false" outlineLevel="0" collapsed="false">
      <c r="A6" s="57" t="s">
        <v>40</v>
      </c>
      <c r="B6" s="57" t="s">
        <v>40</v>
      </c>
      <c r="C6" s="57" t="s">
        <v>40</v>
      </c>
      <c r="D6" s="57" t="s">
        <v>40</v>
      </c>
      <c r="E6" s="57" t="s">
        <v>40</v>
      </c>
      <c r="F6" s="57" t="s">
        <v>40</v>
      </c>
      <c r="G6" s="57" t="s">
        <v>40</v>
      </c>
      <c r="H6" s="57" t="s">
        <v>40</v>
      </c>
      <c r="I6" s="63"/>
    </row>
    <row r="7" customFormat="false" ht="15" hidden="false" customHeight="false" outlineLevel="0" collapsed="false">
      <c r="A7" s="64" t="s">
        <v>9</v>
      </c>
      <c r="B7" s="65"/>
      <c r="C7" s="65"/>
      <c r="D7" s="65"/>
      <c r="E7" s="65"/>
      <c r="F7" s="65"/>
      <c r="G7" s="65"/>
      <c r="H7" s="65"/>
      <c r="I7" s="66" t="n">
        <v>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56"/>
  <sheetViews>
    <sheetView showFormulas="false" showGridLines="true" showRowColHeaders="true" showZeros="true" rightToLeft="false" tabSelected="false" showOutlineSymbols="true" defaultGridColor="true" view="normal" topLeftCell="AZ1" colorId="64" zoomScale="100" zoomScaleNormal="100" zoomScalePageLayoutView="100" workbookViewId="0">
      <pane xSplit="0" ySplit="1" topLeftCell="A2" activePane="bottomLeft" state="frozen"/>
      <selection pane="topLeft" activeCell="AZ1" activeCellId="0" sqref="AZ1"/>
      <selection pane="bottomLeft" activeCell="B2" activeCellId="0" sqref="B2"/>
    </sheetView>
  </sheetViews>
  <sheetFormatPr defaultColWidth="8.96484375" defaultRowHeight="15" customHeight="false" zeroHeight="false" outlineLevelRow="0" outlineLevelCol="0"/>
  <cols>
    <col collapsed="false" customWidth="true" hidden="true" outlineLevel="0" max="1" min="1" style="67" width="25.28"/>
    <col collapsed="false" customWidth="true" hidden="false" outlineLevel="0" max="2" min="2" style="67" width="44.13"/>
    <col collapsed="false" customWidth="true" hidden="false" outlineLevel="0" max="3" min="3" style="67" width="25.28"/>
    <col collapsed="false" customWidth="true" hidden="false" outlineLevel="0" max="4" min="4" style="67" width="13.41"/>
    <col collapsed="false" customWidth="true" hidden="false" outlineLevel="0" max="5" min="5" style="67" width="14.14"/>
    <col collapsed="false" customWidth="true" hidden="false" outlineLevel="0" max="6" min="6" style="67" width="11.28"/>
    <col collapsed="false" customWidth="true" hidden="true" outlineLevel="0" max="7" min="7" style="68" width="27.99"/>
    <col collapsed="false" customWidth="true" hidden="false" outlineLevel="0" max="8" min="8" style="69" width="19.41"/>
    <col collapsed="false" customWidth="true" hidden="true" outlineLevel="0" max="9" min="9" style="68" width="27.99"/>
    <col collapsed="false" customWidth="true" hidden="false" outlineLevel="0" max="10" min="10" style="69" width="20.56"/>
    <col collapsed="false" customWidth="true" hidden="false" outlineLevel="0" max="11" min="11" style="67" width="26.42"/>
    <col collapsed="false" customWidth="true" hidden="true" outlineLevel="0" max="12" min="12" style="67" width="10.99"/>
    <col collapsed="false" customWidth="true" hidden="true" outlineLevel="0" max="13" min="13" style="67" width="25.56"/>
    <col collapsed="false" customWidth="true" hidden="false" outlineLevel="0" max="14" min="14" style="67" width="13.85"/>
    <col collapsed="false" customWidth="true" hidden="false" outlineLevel="0" max="15" min="15" style="67" width="15.7"/>
    <col collapsed="false" customWidth="true" hidden="false" outlineLevel="0" max="16" min="16" style="67" width="24.7"/>
    <col collapsed="false" customWidth="true" hidden="true" outlineLevel="0" max="17" min="17" style="68" width="27.99"/>
    <col collapsed="false" customWidth="true" hidden="false" outlineLevel="0" max="18" min="18" style="69" width="22.85"/>
    <col collapsed="false" customWidth="true" hidden="false" outlineLevel="0" max="19" min="19" style="67" width="13.85"/>
    <col collapsed="false" customWidth="true" hidden="false" outlineLevel="0" max="20" min="20" style="70" width="25.7"/>
    <col collapsed="false" customWidth="true" hidden="false" outlineLevel="0" max="21" min="21" style="70" width="28.99"/>
    <col collapsed="false" customWidth="true" hidden="false" outlineLevel="0" max="27" min="22" style="70" width="25.7"/>
    <col collapsed="false" customWidth="true" hidden="true" outlineLevel="0" max="30" min="28" style="70" width="25.7"/>
    <col collapsed="false" customWidth="true" hidden="false" outlineLevel="0" max="31" min="31" style="70" width="25.7"/>
    <col collapsed="false" customWidth="true" hidden="false" outlineLevel="0" max="32" min="32" style="71" width="17.85"/>
    <col collapsed="false" customWidth="true" hidden="false" outlineLevel="0" max="33" min="33" style="71" width="35.42"/>
    <col collapsed="false" customWidth="true" hidden="false" outlineLevel="0" max="34" min="34" style="71" width="31.42"/>
    <col collapsed="false" customWidth="true" hidden="false" outlineLevel="0" max="35" min="35" style="71" width="21.7"/>
    <col collapsed="false" customWidth="true" hidden="false" outlineLevel="0" max="36" min="36" style="71" width="35.85"/>
    <col collapsed="false" customWidth="true" hidden="false" outlineLevel="0" max="37" min="37" style="71" width="33.41"/>
    <col collapsed="false" customWidth="true" hidden="false" outlineLevel="0" max="38" min="38" style="71" width="25.28"/>
    <col collapsed="false" customWidth="true" hidden="false" outlineLevel="0" max="39" min="39" style="71" width="35.42"/>
    <col collapsed="false" customWidth="true" hidden="true" outlineLevel="0" max="40" min="40" style="68" width="27.99"/>
    <col collapsed="false" customWidth="true" hidden="false" outlineLevel="0" max="41" min="41" style="69" width="18.28"/>
    <col collapsed="false" customWidth="true" hidden="false" outlineLevel="0" max="42" min="42" style="67" width="15.13"/>
    <col collapsed="false" customWidth="true" hidden="true" outlineLevel="0" max="43" min="43" style="68" width="27.99"/>
    <col collapsed="false" customWidth="true" hidden="false" outlineLevel="0" max="44" min="44" style="69" width="17.28"/>
    <col collapsed="false" customWidth="true" hidden="false" outlineLevel="0" max="45" min="45" style="67" width="28.7"/>
    <col collapsed="false" customWidth="true" hidden="false" outlineLevel="0" max="46" min="46" style="67" width="25.99"/>
    <col collapsed="false" customWidth="true" hidden="false" outlineLevel="0" max="47" min="47" style="67" width="16.56"/>
    <col collapsed="false" customWidth="true" hidden="false" outlineLevel="0" max="48" min="48" style="67" width="24.13"/>
    <col collapsed="false" customWidth="true" hidden="false" outlineLevel="0" max="49" min="49" style="72" width="12.85"/>
    <col collapsed="false" customWidth="true" hidden="false" outlineLevel="0" max="50" min="50" style="72" width="12.14"/>
    <col collapsed="false" customWidth="true" hidden="false" outlineLevel="0" max="51" min="51" style="67" width="20.56"/>
    <col collapsed="false" customWidth="true" hidden="false" outlineLevel="0" max="52" min="52" style="67" width="21.99"/>
    <col collapsed="false" customWidth="true" hidden="false" outlineLevel="0" max="53" min="53" style="67" width="29.13"/>
    <col collapsed="false" customWidth="true" hidden="false" outlineLevel="0" max="55" min="54" style="67" width="19.99"/>
    <col collapsed="false" customWidth="true" hidden="false" outlineLevel="0" max="56" min="56" style="67" width="36.14"/>
    <col collapsed="false" customWidth="true" hidden="false" outlineLevel="0" max="57" min="57" style="67" width="40.56"/>
    <col collapsed="false" customWidth="true" hidden="false" outlineLevel="0" max="58" min="58" style="67" width="30.7"/>
    <col collapsed="false" customWidth="true" hidden="false" outlineLevel="0" max="59" min="59" style="72" width="13.7"/>
    <col collapsed="false" customWidth="true" hidden="true" outlineLevel="0" max="60" min="60" style="72" width="11.42"/>
    <col collapsed="false" customWidth="true" hidden="true" outlineLevel="0" max="61" min="61" style="72" width="13.28"/>
    <col collapsed="false" customWidth="true" hidden="true" outlineLevel="0" max="62" min="62" style="72" width="14.85"/>
    <col collapsed="false" customWidth="true" hidden="true" outlineLevel="0" max="63" min="63" style="67" width="20.13"/>
    <col collapsed="false" customWidth="true" hidden="true" outlineLevel="0" max="64" min="64" style="73" width="13.85"/>
    <col collapsed="false" customWidth="true" hidden="false" outlineLevel="0" max="65" min="65" style="74" width="18.56"/>
    <col collapsed="false" customWidth="true" hidden="true" outlineLevel="0" max="66" min="66" style="67" width="23.56"/>
    <col collapsed="false" customWidth="true" hidden="true" outlineLevel="0" max="67" min="67" style="0" width="13.28"/>
  </cols>
  <sheetData>
    <row r="1" customFormat="false" ht="15" hidden="false" customHeight="false" outlineLevel="0" collapsed="false">
      <c r="A1" s="75" t="s">
        <v>47</v>
      </c>
      <c r="B1" s="75" t="s">
        <v>48</v>
      </c>
      <c r="C1" s="75" t="s">
        <v>16</v>
      </c>
      <c r="D1" s="75" t="s">
        <v>13</v>
      </c>
      <c r="E1" s="76" t="s">
        <v>49</v>
      </c>
      <c r="F1" s="76" t="s">
        <v>50</v>
      </c>
      <c r="G1" s="77" t="s">
        <v>51</v>
      </c>
      <c r="H1" s="78" t="s">
        <v>15</v>
      </c>
      <c r="I1" s="77" t="s">
        <v>52</v>
      </c>
      <c r="J1" s="78" t="s">
        <v>53</v>
      </c>
      <c r="K1" s="75" t="s">
        <v>54</v>
      </c>
      <c r="L1" s="75" t="s">
        <v>55</v>
      </c>
      <c r="M1" s="75" t="s">
        <v>56</v>
      </c>
      <c r="N1" s="75" t="s">
        <v>17</v>
      </c>
      <c r="O1" s="75" t="s">
        <v>57</v>
      </c>
      <c r="P1" s="75" t="s">
        <v>58</v>
      </c>
      <c r="Q1" s="77" t="s">
        <v>59</v>
      </c>
      <c r="R1" s="78" t="s">
        <v>60</v>
      </c>
      <c r="S1" s="75" t="s">
        <v>61</v>
      </c>
      <c r="T1" s="79" t="s">
        <v>62</v>
      </c>
      <c r="U1" s="79" t="s">
        <v>63</v>
      </c>
      <c r="V1" s="79" t="s">
        <v>64</v>
      </c>
      <c r="W1" s="79" t="s">
        <v>65</v>
      </c>
      <c r="X1" s="79" t="s">
        <v>66</v>
      </c>
      <c r="Y1" s="79" t="s">
        <v>67</v>
      </c>
      <c r="Z1" s="79" t="s">
        <v>68</v>
      </c>
      <c r="AA1" s="79" t="s">
        <v>69</v>
      </c>
      <c r="AB1" s="79" t="s">
        <v>70</v>
      </c>
      <c r="AC1" s="79" t="s">
        <v>71</v>
      </c>
      <c r="AD1" s="79" t="s">
        <v>72</v>
      </c>
      <c r="AE1" s="79" t="s">
        <v>73</v>
      </c>
      <c r="AF1" s="80" t="s">
        <v>12</v>
      </c>
      <c r="AG1" s="80" t="s">
        <v>18</v>
      </c>
      <c r="AH1" s="80" t="s">
        <v>19</v>
      </c>
      <c r="AI1" s="80" t="s">
        <v>20</v>
      </c>
      <c r="AJ1" s="80" t="s">
        <v>74</v>
      </c>
      <c r="AK1" s="80" t="s">
        <v>75</v>
      </c>
      <c r="AL1" s="80" t="s">
        <v>76</v>
      </c>
      <c r="AM1" s="80" t="s">
        <v>77</v>
      </c>
      <c r="AN1" s="77" t="s">
        <v>78</v>
      </c>
      <c r="AO1" s="78" t="s">
        <v>42</v>
      </c>
      <c r="AP1" s="75" t="s">
        <v>10</v>
      </c>
      <c r="AQ1" s="77" t="s">
        <v>79</v>
      </c>
      <c r="AR1" s="78" t="s">
        <v>43</v>
      </c>
      <c r="AS1" s="75" t="s">
        <v>21</v>
      </c>
      <c r="AT1" s="75" t="s">
        <v>80</v>
      </c>
      <c r="AU1" s="75" t="s">
        <v>81</v>
      </c>
      <c r="AV1" s="75" t="s">
        <v>82</v>
      </c>
      <c r="AW1" s="76" t="s">
        <v>83</v>
      </c>
      <c r="AX1" s="76" t="s">
        <v>84</v>
      </c>
      <c r="AY1" s="75" t="s">
        <v>85</v>
      </c>
      <c r="AZ1" s="75" t="s">
        <v>86</v>
      </c>
      <c r="BA1" s="75" t="s">
        <v>87</v>
      </c>
      <c r="BB1" s="75" t="s">
        <v>88</v>
      </c>
      <c r="BC1" s="76" t="s">
        <v>89</v>
      </c>
      <c r="BD1" s="75" t="s">
        <v>22</v>
      </c>
      <c r="BE1" s="75" t="s">
        <v>23</v>
      </c>
      <c r="BF1" s="75" t="s">
        <v>24</v>
      </c>
      <c r="BG1" s="76" t="s">
        <v>90</v>
      </c>
      <c r="BH1" s="76" t="s">
        <v>91</v>
      </c>
      <c r="BI1" s="76" t="s">
        <v>92</v>
      </c>
      <c r="BJ1" s="76" t="s">
        <v>93</v>
      </c>
      <c r="BK1" s="75" t="s">
        <v>14</v>
      </c>
      <c r="BL1" s="81" t="s">
        <v>6</v>
      </c>
      <c r="BM1" s="82" t="s">
        <v>94</v>
      </c>
      <c r="BN1" s="75" t="s">
        <v>95</v>
      </c>
      <c r="BO1" s="80" t="s">
        <v>96</v>
      </c>
    </row>
    <row r="2" customFormat="false" ht="15" hidden="false" customHeight="false" outlineLevel="0" collapsed="false">
      <c r="A2" s="83" t="s">
        <v>97</v>
      </c>
      <c r="B2" s="83" t="s">
        <v>98</v>
      </c>
      <c r="C2" s="83" t="s">
        <v>99</v>
      </c>
      <c r="D2" s="83" t="s">
        <v>100</v>
      </c>
      <c r="E2" s="83" t="s">
        <v>101</v>
      </c>
      <c r="F2" s="83" t="s">
        <v>102</v>
      </c>
      <c r="G2" s="84" t="s">
        <v>103</v>
      </c>
      <c r="H2" s="85" t="n">
        <f aca="false">IFERROR(--REPLACE(SUBSTITUTE(G2,"T"," "),LEN(G2)-6,6,""),"")</f>
        <v>45444</v>
      </c>
      <c r="I2" s="84" t="s">
        <v>104</v>
      </c>
      <c r="J2" s="85" t="n">
        <f aca="false">IFERROR(--REPLACE(SUBSTITUTE(I2,"T"," "),LEN(I2)-6,6,""),"")</f>
        <v>45809</v>
      </c>
      <c r="K2" s="83"/>
      <c r="L2" s="83" t="s">
        <v>105</v>
      </c>
      <c r="M2" s="83" t="s">
        <v>106</v>
      </c>
      <c r="N2" s="83" t="s">
        <v>107</v>
      </c>
      <c r="O2" s="83" t="s">
        <v>108</v>
      </c>
      <c r="P2" s="83" t="s">
        <v>109</v>
      </c>
      <c r="Q2" s="84" t="s">
        <v>110</v>
      </c>
      <c r="R2" s="85" t="n">
        <f aca="false">IFERROR(--REPLACE(SUBSTITUTE(Q2,"T"," "),LEN(Q2)-6,6,""),"")</f>
        <v>45450</v>
      </c>
      <c r="S2" s="83" t="s">
        <v>111</v>
      </c>
      <c r="T2" s="86" t="n">
        <v>0</v>
      </c>
      <c r="U2" s="86" t="n">
        <v>0</v>
      </c>
      <c r="V2" s="86" t="n">
        <v>0</v>
      </c>
      <c r="W2" s="86" t="n">
        <v>0</v>
      </c>
      <c r="X2" s="86" t="n">
        <v>0</v>
      </c>
      <c r="Y2" s="86" t="n">
        <v>0</v>
      </c>
      <c r="Z2" s="86" t="n">
        <v>0</v>
      </c>
      <c r="AA2" s="86" t="n">
        <v>0</v>
      </c>
      <c r="AB2" s="86"/>
      <c r="AC2" s="86" t="n">
        <v>0</v>
      </c>
      <c r="AD2" s="86" t="n">
        <v>0</v>
      </c>
      <c r="AE2" s="86" t="n">
        <v>0</v>
      </c>
      <c r="AF2" s="87"/>
      <c r="AG2" s="87" t="s">
        <v>112</v>
      </c>
      <c r="AH2" s="87" t="s">
        <v>113</v>
      </c>
      <c r="AI2" s="87" t="s">
        <v>114</v>
      </c>
      <c r="AJ2" s="87"/>
      <c r="AK2" s="87"/>
      <c r="AL2" s="87"/>
      <c r="AM2" s="87"/>
      <c r="AN2" s="84" t="s">
        <v>115</v>
      </c>
      <c r="AO2" s="85" t="n">
        <f aca="false">IFERROR(--REPLACE(SUBSTITUTE(AN2,"T"," "),LEN(AN2)-6,6,""),"")</f>
        <v>45453</v>
      </c>
      <c r="AP2" s="83" t="s">
        <v>116</v>
      </c>
      <c r="AQ2" s="84" t="s">
        <v>117</v>
      </c>
      <c r="AR2" s="85" t="n">
        <f aca="false">IFERROR(--REPLACE(SUBSTITUTE(AQ2,"T"," "),LEN(AQ2)-6,6,""),"")</f>
        <v>45695</v>
      </c>
      <c r="AS2" s="83" t="s">
        <v>118</v>
      </c>
      <c r="AT2" s="83" t="s">
        <v>119</v>
      </c>
      <c r="AU2" s="83" t="s">
        <v>120</v>
      </c>
      <c r="AV2" s="83"/>
      <c r="AW2" s="88"/>
      <c r="AX2" s="88"/>
      <c r="AY2" s="83"/>
      <c r="AZ2" s="83"/>
      <c r="BA2" s="83"/>
      <c r="BB2" s="83"/>
      <c r="BC2" s="83"/>
      <c r="BD2" s="83" t="s">
        <v>121</v>
      </c>
      <c r="BE2" s="83" t="s">
        <v>122</v>
      </c>
      <c r="BF2" s="83" t="s">
        <v>123</v>
      </c>
      <c r="BG2" s="88" t="s">
        <v>124</v>
      </c>
      <c r="BH2" s="88" t="s">
        <v>125</v>
      </c>
      <c r="BI2" s="88" t="s">
        <v>125</v>
      </c>
      <c r="BJ2" s="88" t="s">
        <v>126</v>
      </c>
      <c r="BK2" s="83" t="s">
        <v>127</v>
      </c>
      <c r="BL2" s="89" t="n">
        <v>2024</v>
      </c>
      <c r="BM2" s="90" t="n">
        <v>0</v>
      </c>
      <c r="BN2" s="83" t="s">
        <v>128</v>
      </c>
      <c r="BO2" s="91" t="n">
        <f aca="false">IF(SUMPRODUCT(($A$2:$A3=A3)*($N$2:$N3=N3))&gt;1,0,1)</f>
        <v>1</v>
      </c>
    </row>
    <row r="3" customFormat="false" ht="15" hidden="false" customHeight="false" outlineLevel="0" collapsed="false">
      <c r="A3" s="83" t="s">
        <v>97</v>
      </c>
      <c r="B3" s="83" t="s">
        <v>98</v>
      </c>
      <c r="C3" s="83"/>
      <c r="D3" s="83" t="s">
        <v>129</v>
      </c>
      <c r="E3" s="83" t="s">
        <v>130</v>
      </c>
      <c r="F3" s="83" t="s">
        <v>102</v>
      </c>
      <c r="G3" s="84" t="s">
        <v>103</v>
      </c>
      <c r="H3" s="85" t="n">
        <f aca="false">IFERROR(--REPLACE(SUBSTITUTE(G3,"T"," "),LEN(G3)-6,6,""),"")</f>
        <v>45444</v>
      </c>
      <c r="I3" s="84" t="s">
        <v>104</v>
      </c>
      <c r="J3" s="85" t="n">
        <f aca="false">IFERROR(--REPLACE(SUBSTITUTE(I3,"T"," "),LEN(I3)-6,6,""),"")</f>
        <v>45809</v>
      </c>
      <c r="K3" s="83"/>
      <c r="L3" s="83" t="s">
        <v>105</v>
      </c>
      <c r="M3" s="83" t="s">
        <v>106</v>
      </c>
      <c r="N3" s="83" t="s">
        <v>131</v>
      </c>
      <c r="O3" s="83" t="s">
        <v>108</v>
      </c>
      <c r="P3" s="83" t="s">
        <v>132</v>
      </c>
      <c r="Q3" s="84" t="s">
        <v>133</v>
      </c>
      <c r="R3" s="85" t="n">
        <f aca="false">IFERROR(--REPLACE(SUBSTITUTE(Q3,"T"," "),LEN(Q3)-6,6,""),"")</f>
        <v>45495</v>
      </c>
      <c r="S3" s="83" t="s">
        <v>111</v>
      </c>
      <c r="T3" s="86" t="n">
        <v>0</v>
      </c>
      <c r="U3" s="86" t="n">
        <v>0</v>
      </c>
      <c r="V3" s="86" t="n">
        <v>0</v>
      </c>
      <c r="W3" s="86" t="n">
        <v>0</v>
      </c>
      <c r="X3" s="86" t="n">
        <v>0</v>
      </c>
      <c r="Y3" s="86" t="n">
        <v>0</v>
      </c>
      <c r="Z3" s="86" t="n">
        <v>0</v>
      </c>
      <c r="AA3" s="86" t="n">
        <v>0</v>
      </c>
      <c r="AB3" s="86"/>
      <c r="AC3" s="86" t="n">
        <v>0</v>
      </c>
      <c r="AD3" s="86" t="n">
        <v>0</v>
      </c>
      <c r="AE3" s="86" t="n">
        <v>0</v>
      </c>
      <c r="AF3" s="87"/>
      <c r="AG3" s="87" t="s">
        <v>134</v>
      </c>
      <c r="AH3" s="87" t="s">
        <v>135</v>
      </c>
      <c r="AI3" s="87" t="s">
        <v>136</v>
      </c>
      <c r="AJ3" s="87"/>
      <c r="AK3" s="87"/>
      <c r="AL3" s="87"/>
      <c r="AM3" s="87"/>
      <c r="AN3" s="84" t="s">
        <v>133</v>
      </c>
      <c r="AO3" s="85" t="n">
        <f aca="false">IFERROR(--REPLACE(SUBSTITUTE(AN3,"T"," "),LEN(AN3)-6,6,""),"")</f>
        <v>45495</v>
      </c>
      <c r="AP3" s="83" t="s">
        <v>116</v>
      </c>
      <c r="AQ3" s="84" t="s">
        <v>137</v>
      </c>
      <c r="AR3" s="85" t="n">
        <f aca="false">IFERROR(--REPLACE(SUBSTITUTE(AQ3,"T"," "),LEN(AQ3)-6,6,""),"")</f>
        <v>45855</v>
      </c>
      <c r="AS3" s="83" t="s">
        <v>138</v>
      </c>
      <c r="AT3" s="83"/>
      <c r="AU3" s="83" t="s">
        <v>139</v>
      </c>
      <c r="AV3" s="83"/>
      <c r="AW3" s="88"/>
      <c r="AX3" s="88"/>
      <c r="AY3" s="83"/>
      <c r="AZ3" s="83"/>
      <c r="BA3" s="83"/>
      <c r="BB3" s="83"/>
      <c r="BC3" s="83"/>
      <c r="BD3" s="83" t="s">
        <v>140</v>
      </c>
      <c r="BE3" s="83" t="s">
        <v>141</v>
      </c>
      <c r="BF3" s="83" t="s">
        <v>123</v>
      </c>
      <c r="BG3" s="88" t="s">
        <v>124</v>
      </c>
      <c r="BH3" s="88" t="s">
        <v>125</v>
      </c>
      <c r="BI3" s="88" t="s">
        <v>125</v>
      </c>
      <c r="BJ3" s="88" t="s">
        <v>126</v>
      </c>
      <c r="BK3" s="83" t="s">
        <v>142</v>
      </c>
      <c r="BL3" s="89" t="n">
        <v>2024</v>
      </c>
      <c r="BM3" s="90" t="n">
        <v>0</v>
      </c>
      <c r="BN3" s="83" t="s">
        <v>143</v>
      </c>
      <c r="BO3" s="91" t="n">
        <f aca="false">IF(SUMPRODUCT(($A$2:$A4=A4)*($N$2:$N4=N4))&gt;1,0,1)</f>
        <v>1</v>
      </c>
    </row>
    <row r="4" customFormat="false" ht="15" hidden="false" customHeight="false" outlineLevel="0" collapsed="false">
      <c r="A4" s="83" t="s">
        <v>97</v>
      </c>
      <c r="B4" s="83" t="s">
        <v>98</v>
      </c>
      <c r="C4" s="83" t="s">
        <v>99</v>
      </c>
      <c r="D4" s="83" t="s">
        <v>100</v>
      </c>
      <c r="E4" s="83" t="s">
        <v>101</v>
      </c>
      <c r="F4" s="83" t="s">
        <v>108</v>
      </c>
      <c r="G4" s="84" t="s">
        <v>104</v>
      </c>
      <c r="H4" s="85" t="n">
        <f aca="false">IFERROR(--REPLACE(SUBSTITUTE(G4,"T"," "),LEN(G4)-6,6,""),"")</f>
        <v>45809</v>
      </c>
      <c r="I4" s="84" t="s">
        <v>144</v>
      </c>
      <c r="J4" s="85" t="n">
        <f aca="false">IFERROR(--REPLACE(SUBSTITUTE(I4,"T"," "),LEN(I4)-6,6,""),"")</f>
        <v>46174</v>
      </c>
      <c r="K4" s="83"/>
      <c r="L4" s="83" t="s">
        <v>105</v>
      </c>
      <c r="M4" s="83" t="s">
        <v>106</v>
      </c>
      <c r="N4" s="83" t="s">
        <v>145</v>
      </c>
      <c r="O4" s="83" t="s">
        <v>146</v>
      </c>
      <c r="P4" s="83" t="s">
        <v>147</v>
      </c>
      <c r="Q4" s="84" t="s">
        <v>148</v>
      </c>
      <c r="R4" s="85" t="n">
        <f aca="false">IFERROR(--REPLACE(SUBSTITUTE(Q4,"T"," "),LEN(Q4)-6,6,""),"")</f>
        <v>45919</v>
      </c>
      <c r="S4" s="83" t="s">
        <v>111</v>
      </c>
      <c r="T4" s="86" t="n">
        <v>0</v>
      </c>
      <c r="U4" s="86" t="n">
        <v>0</v>
      </c>
      <c r="V4" s="86" t="n">
        <v>0</v>
      </c>
      <c r="W4" s="86" t="n">
        <v>0</v>
      </c>
      <c r="X4" s="86" t="n">
        <v>0</v>
      </c>
      <c r="Y4" s="86" t="n">
        <v>0</v>
      </c>
      <c r="Z4" s="86" t="n">
        <v>0</v>
      </c>
      <c r="AA4" s="86" t="n">
        <v>0</v>
      </c>
      <c r="AB4" s="86"/>
      <c r="AC4" s="86" t="n">
        <v>0</v>
      </c>
      <c r="AD4" s="86" t="n">
        <v>0</v>
      </c>
      <c r="AE4" s="86" t="n">
        <v>0</v>
      </c>
      <c r="AF4" s="87"/>
      <c r="AG4" s="87" t="s">
        <v>112</v>
      </c>
      <c r="AH4" s="87" t="s">
        <v>149</v>
      </c>
      <c r="AI4" s="87" t="s">
        <v>150</v>
      </c>
      <c r="AJ4" s="87"/>
      <c r="AK4" s="87"/>
      <c r="AL4" s="87"/>
      <c r="AM4" s="87"/>
      <c r="AN4" s="84" t="s">
        <v>151</v>
      </c>
      <c r="AO4" s="85" t="n">
        <f aca="false">IFERROR(--REPLACE(SUBSTITUTE(AN4,"T"," "),LEN(AN4)-6,6,""),"")</f>
        <v>45922</v>
      </c>
      <c r="AP4" s="83" t="s">
        <v>116</v>
      </c>
      <c r="AQ4" s="84" t="s">
        <v>152</v>
      </c>
      <c r="AR4" s="85" t="n">
        <f aca="false">IFERROR(--REPLACE(SUBSTITUTE(AQ4,"T"," "),LEN(AQ4)-6,6,""),"")</f>
        <v>45986</v>
      </c>
      <c r="AS4" s="83" t="s">
        <v>153</v>
      </c>
      <c r="AT4" s="83" t="s">
        <v>154</v>
      </c>
      <c r="AU4" s="83" t="s">
        <v>120</v>
      </c>
      <c r="AV4" s="83"/>
      <c r="AW4" s="88"/>
      <c r="AX4" s="88"/>
      <c r="AY4" s="83"/>
      <c r="AZ4" s="83"/>
      <c r="BA4" s="83"/>
      <c r="BB4" s="83"/>
      <c r="BC4" s="83"/>
      <c r="BD4" s="83" t="s">
        <v>155</v>
      </c>
      <c r="BE4" s="83" t="s">
        <v>156</v>
      </c>
      <c r="BF4" s="83" t="s">
        <v>123</v>
      </c>
      <c r="BG4" s="88" t="s">
        <v>124</v>
      </c>
      <c r="BH4" s="88" t="s">
        <v>125</v>
      </c>
      <c r="BI4" s="88" t="s">
        <v>125</v>
      </c>
      <c r="BJ4" s="88" t="s">
        <v>126</v>
      </c>
      <c r="BK4" s="83" t="s">
        <v>157</v>
      </c>
      <c r="BL4" s="89" t="n">
        <v>2025</v>
      </c>
      <c r="BM4" s="90" t="n">
        <v>0</v>
      </c>
      <c r="BN4" s="83" t="s">
        <v>158</v>
      </c>
      <c r="BO4" s="91" t="n">
        <f aca="false">IF(SUMPRODUCT(($A$2:$A5=A5)*($N$2:$N5=N5))&gt;1,0,1)</f>
        <v>1</v>
      </c>
    </row>
    <row r="5" customFormat="false" ht="15" hidden="false" customHeight="false" outlineLevel="0" collapsed="false">
      <c r="A5" s="83" t="s">
        <v>97</v>
      </c>
      <c r="B5" s="83" t="s">
        <v>98</v>
      </c>
      <c r="C5" s="83" t="s">
        <v>99</v>
      </c>
      <c r="D5" s="83" t="s">
        <v>100</v>
      </c>
      <c r="E5" s="83" t="s">
        <v>101</v>
      </c>
      <c r="F5" s="83" t="s">
        <v>108</v>
      </c>
      <c r="G5" s="84" t="s">
        <v>104</v>
      </c>
      <c r="H5" s="85" t="n">
        <f aca="false">IFERROR(--REPLACE(SUBSTITUTE(G5,"T"," "),LEN(G5)-6,6,""),"")</f>
        <v>45809</v>
      </c>
      <c r="I5" s="84" t="s">
        <v>144</v>
      </c>
      <c r="J5" s="85" t="n">
        <f aca="false">IFERROR(--REPLACE(SUBSTITUTE(I5,"T"," "),LEN(I5)-6,6,""),"")</f>
        <v>46174</v>
      </c>
      <c r="K5" s="83"/>
      <c r="L5" s="83" t="s">
        <v>105</v>
      </c>
      <c r="M5" s="83" t="s">
        <v>106</v>
      </c>
      <c r="N5" s="83" t="s">
        <v>159</v>
      </c>
      <c r="O5" s="83" t="s">
        <v>146</v>
      </c>
      <c r="P5" s="83" t="s">
        <v>147</v>
      </c>
      <c r="Q5" s="84" t="s">
        <v>160</v>
      </c>
      <c r="R5" s="85" t="n">
        <f aca="false">IFERROR(--REPLACE(SUBSTITUTE(Q5,"T"," "),LEN(Q5)-6,6,""),"")</f>
        <v>46112</v>
      </c>
      <c r="S5" s="83" t="s">
        <v>111</v>
      </c>
      <c r="T5" s="86" t="n">
        <v>0</v>
      </c>
      <c r="U5" s="86" t="n">
        <v>0</v>
      </c>
      <c r="V5" s="86" t="n">
        <v>0</v>
      </c>
      <c r="W5" s="86" t="n">
        <v>0</v>
      </c>
      <c r="X5" s="86" t="n">
        <v>0</v>
      </c>
      <c r="Y5" s="86" t="n">
        <v>0</v>
      </c>
      <c r="Z5" s="86" t="n">
        <v>0</v>
      </c>
      <c r="AA5" s="86" t="n">
        <v>0</v>
      </c>
      <c r="AB5" s="86"/>
      <c r="AC5" s="86" t="n">
        <v>0</v>
      </c>
      <c r="AD5" s="86" t="n">
        <v>0</v>
      </c>
      <c r="AE5" s="86" t="n">
        <v>0</v>
      </c>
      <c r="AF5" s="87"/>
      <c r="AG5" s="87" t="s">
        <v>161</v>
      </c>
      <c r="AH5" s="87" t="s">
        <v>149</v>
      </c>
      <c r="AI5" s="87" t="s">
        <v>162</v>
      </c>
      <c r="AJ5" s="87"/>
      <c r="AK5" s="87"/>
      <c r="AL5" s="87"/>
      <c r="AM5" s="87"/>
      <c r="AN5" s="84" t="s">
        <v>163</v>
      </c>
      <c r="AO5" s="85" t="n">
        <f aca="false">IFERROR(--REPLACE(SUBSTITUTE(AN5,"T"," "),LEN(AN5)-6,6,""),"")</f>
        <v>46134</v>
      </c>
      <c r="AP5" s="83" t="s">
        <v>116</v>
      </c>
      <c r="AQ5" s="84" t="s">
        <v>164</v>
      </c>
      <c r="AR5" s="85" t="n">
        <f aca="false">IFERROR(--REPLACE(SUBSTITUTE(AQ5,"T"," "),LEN(AQ5)-6,6,""),"")</f>
        <v>46204</v>
      </c>
      <c r="AS5" s="83" t="s">
        <v>165</v>
      </c>
      <c r="AT5" s="83" t="s">
        <v>154</v>
      </c>
      <c r="AU5" s="83" t="s">
        <v>166</v>
      </c>
      <c r="AV5" s="83"/>
      <c r="AW5" s="88"/>
      <c r="AX5" s="88"/>
      <c r="AY5" s="83"/>
      <c r="AZ5" s="83"/>
      <c r="BA5" s="83"/>
      <c r="BB5" s="83"/>
      <c r="BC5" s="83"/>
      <c r="BD5" s="83" t="s">
        <v>167</v>
      </c>
      <c r="BE5" s="83" t="s">
        <v>168</v>
      </c>
      <c r="BF5" s="83" t="s">
        <v>123</v>
      </c>
      <c r="BG5" s="88" t="s">
        <v>124</v>
      </c>
      <c r="BH5" s="88" t="s">
        <v>125</v>
      </c>
      <c r="BI5" s="88" t="s">
        <v>125</v>
      </c>
      <c r="BJ5" s="88" t="s">
        <v>126</v>
      </c>
      <c r="BK5" s="83" t="s">
        <v>157</v>
      </c>
      <c r="BL5" s="89" t="n">
        <v>2025</v>
      </c>
      <c r="BM5" s="90" t="n">
        <v>0</v>
      </c>
      <c r="BN5" s="83" t="s">
        <v>169</v>
      </c>
      <c r="BO5" s="91" t="n">
        <f aca="false">IF(SUMPRODUCT(($A$2:$A6=A6)*($N$2:$N6=N6))&gt;1,0,1)</f>
        <v>1</v>
      </c>
    </row>
    <row r="6" customFormat="false" ht="15" hidden="false" customHeight="false" outlineLevel="0" collapsed="false">
      <c r="A6" s="83" t="s">
        <v>97</v>
      </c>
      <c r="B6" s="83" t="s">
        <v>98</v>
      </c>
      <c r="C6" s="83"/>
      <c r="D6" s="83" t="s">
        <v>170</v>
      </c>
      <c r="E6" s="83" t="s">
        <v>171</v>
      </c>
      <c r="F6" s="83" t="s">
        <v>102</v>
      </c>
      <c r="G6" s="84" t="s">
        <v>103</v>
      </c>
      <c r="H6" s="85" t="n">
        <f aca="false">IFERROR(--REPLACE(SUBSTITUTE(G6,"T"," "),LEN(G6)-6,6,""),"")</f>
        <v>45444</v>
      </c>
      <c r="I6" s="84" t="s">
        <v>104</v>
      </c>
      <c r="J6" s="85" t="n">
        <f aca="false">IFERROR(--REPLACE(SUBSTITUTE(I6,"T"," "),LEN(I6)-6,6,""),"")</f>
        <v>45809</v>
      </c>
      <c r="K6" s="83"/>
      <c r="L6" s="83" t="s">
        <v>105</v>
      </c>
      <c r="M6" s="83" t="s">
        <v>106</v>
      </c>
      <c r="N6" s="83" t="s">
        <v>172</v>
      </c>
      <c r="O6" s="83" t="s">
        <v>108</v>
      </c>
      <c r="P6" s="83" t="s">
        <v>173</v>
      </c>
      <c r="Q6" s="84" t="s">
        <v>174</v>
      </c>
      <c r="R6" s="85" t="n">
        <f aca="false">IFERROR(--REPLACE(SUBSTITUTE(Q6,"T"," "),LEN(Q6)-6,6,""),"")</f>
        <v>45664</v>
      </c>
      <c r="S6" s="83" t="s">
        <v>111</v>
      </c>
      <c r="T6" s="86" t="n">
        <v>0</v>
      </c>
      <c r="U6" s="86" t="n">
        <v>50</v>
      </c>
      <c r="V6" s="86" t="n">
        <v>50</v>
      </c>
      <c r="W6" s="86" t="n">
        <v>0</v>
      </c>
      <c r="X6" s="86" t="n">
        <v>0</v>
      </c>
      <c r="Y6" s="86" t="n">
        <v>0</v>
      </c>
      <c r="Z6" s="86" t="n">
        <v>0</v>
      </c>
      <c r="AA6" s="86" t="n">
        <v>0</v>
      </c>
      <c r="AB6" s="86"/>
      <c r="AC6" s="86" t="n">
        <v>0</v>
      </c>
      <c r="AD6" s="86" t="n">
        <v>0</v>
      </c>
      <c r="AE6" s="86" t="n">
        <v>0</v>
      </c>
      <c r="AF6" s="87"/>
      <c r="AG6" s="87" t="s">
        <v>175</v>
      </c>
      <c r="AH6" s="87" t="s">
        <v>176</v>
      </c>
      <c r="AI6" s="87" t="s">
        <v>177</v>
      </c>
      <c r="AJ6" s="87"/>
      <c r="AK6" s="87"/>
      <c r="AL6" s="87"/>
      <c r="AM6" s="87"/>
      <c r="AN6" s="84" t="s">
        <v>178</v>
      </c>
      <c r="AO6" s="85" t="n">
        <f aca="false">IFERROR(--REPLACE(SUBSTITUTE(AN6,"T"," "),LEN(AN6)-6,6,""),"")</f>
        <v>46111</v>
      </c>
      <c r="AP6" s="83" t="s">
        <v>116</v>
      </c>
      <c r="AQ6" s="84" t="s">
        <v>179</v>
      </c>
      <c r="AR6" s="85" t="n">
        <f aca="false">IFERROR(--REPLACE(SUBSTITUTE(AQ6,"T"," "),LEN(AQ6)-6,6,""),"")</f>
        <v>46113</v>
      </c>
      <c r="AS6" s="83" t="s">
        <v>98</v>
      </c>
      <c r="AT6" s="83"/>
      <c r="AU6" s="83" t="s">
        <v>166</v>
      </c>
      <c r="AV6" s="83"/>
      <c r="AW6" s="88" t="s">
        <v>125</v>
      </c>
      <c r="AX6" s="88" t="s">
        <v>180</v>
      </c>
      <c r="AY6" s="83" t="s">
        <v>181</v>
      </c>
      <c r="AZ6" s="83" t="s">
        <v>182</v>
      </c>
      <c r="BA6" s="83" t="s">
        <v>183</v>
      </c>
      <c r="BB6" s="83"/>
      <c r="BC6" s="83"/>
      <c r="BD6" s="83" t="s">
        <v>184</v>
      </c>
      <c r="BE6" s="83" t="s">
        <v>185</v>
      </c>
      <c r="BF6" s="83" t="s">
        <v>123</v>
      </c>
      <c r="BG6" s="88" t="s">
        <v>124</v>
      </c>
      <c r="BH6" s="88" t="s">
        <v>125</v>
      </c>
      <c r="BI6" s="88" t="s">
        <v>125</v>
      </c>
      <c r="BJ6" s="88" t="s">
        <v>126</v>
      </c>
      <c r="BK6" s="83" t="s">
        <v>186</v>
      </c>
      <c r="BL6" s="89" t="n">
        <v>2024</v>
      </c>
      <c r="BM6" s="90" t="n">
        <v>0</v>
      </c>
      <c r="BN6" s="83" t="s">
        <v>187</v>
      </c>
      <c r="BO6" s="91" t="n">
        <f aca="false">IF(SUMPRODUCT(($A$2:$A7=A7)*($N$2:$N7=N7))&gt;1,0,1)</f>
        <v>1</v>
      </c>
    </row>
    <row r="7" customFormat="false" ht="15" hidden="false" customHeight="false" outlineLevel="0" collapsed="false">
      <c r="A7" s="83" t="s">
        <v>97</v>
      </c>
      <c r="B7" s="83" t="s">
        <v>98</v>
      </c>
      <c r="C7" s="83"/>
      <c r="D7" s="83" t="s">
        <v>170</v>
      </c>
      <c r="E7" s="83" t="s">
        <v>171</v>
      </c>
      <c r="F7" s="83" t="s">
        <v>102</v>
      </c>
      <c r="G7" s="84" t="s">
        <v>103</v>
      </c>
      <c r="H7" s="85" t="n">
        <f aca="false">IFERROR(--REPLACE(SUBSTITUTE(G7,"T"," "),LEN(G7)-6,6,""),"")</f>
        <v>45444</v>
      </c>
      <c r="I7" s="84" t="s">
        <v>104</v>
      </c>
      <c r="J7" s="85" t="n">
        <f aca="false">IFERROR(--REPLACE(SUBSTITUTE(I7,"T"," "),LEN(I7)-6,6,""),"")</f>
        <v>45809</v>
      </c>
      <c r="K7" s="83"/>
      <c r="L7" s="83" t="s">
        <v>105</v>
      </c>
      <c r="M7" s="83" t="s">
        <v>106</v>
      </c>
      <c r="N7" s="83" t="s">
        <v>188</v>
      </c>
      <c r="O7" s="83" t="s">
        <v>108</v>
      </c>
      <c r="P7" s="83" t="s">
        <v>173</v>
      </c>
      <c r="Q7" s="84" t="s">
        <v>189</v>
      </c>
      <c r="R7" s="85" t="n">
        <f aca="false">IFERROR(--REPLACE(SUBSTITUTE(Q7,"T"," "),LEN(Q7)-6,6,""),"")</f>
        <v>45758</v>
      </c>
      <c r="S7" s="83" t="s">
        <v>111</v>
      </c>
      <c r="T7" s="86" t="n">
        <v>0</v>
      </c>
      <c r="U7" s="86" t="n">
        <v>50</v>
      </c>
      <c r="V7" s="86" t="n">
        <v>50</v>
      </c>
      <c r="W7" s="86" t="n">
        <v>0</v>
      </c>
      <c r="X7" s="86" t="n">
        <v>0</v>
      </c>
      <c r="Y7" s="86" t="n">
        <v>0</v>
      </c>
      <c r="Z7" s="86" t="n">
        <v>0</v>
      </c>
      <c r="AA7" s="86" t="n">
        <v>0</v>
      </c>
      <c r="AB7" s="86"/>
      <c r="AC7" s="86" t="n">
        <v>0</v>
      </c>
      <c r="AD7" s="86" t="n">
        <v>0</v>
      </c>
      <c r="AE7" s="86" t="n">
        <v>0</v>
      </c>
      <c r="AF7" s="87"/>
      <c r="AG7" s="87" t="s">
        <v>175</v>
      </c>
      <c r="AH7" s="87" t="s">
        <v>176</v>
      </c>
      <c r="AI7" s="87" t="s">
        <v>177</v>
      </c>
      <c r="AJ7" s="87"/>
      <c r="AK7" s="87"/>
      <c r="AL7" s="87"/>
      <c r="AM7" s="87"/>
      <c r="AN7" s="84" t="s">
        <v>178</v>
      </c>
      <c r="AO7" s="85" t="n">
        <f aca="false">IFERROR(--REPLACE(SUBSTITUTE(AN7,"T"," "),LEN(AN7)-6,6,""),"")</f>
        <v>46111</v>
      </c>
      <c r="AP7" s="83" t="s">
        <v>116</v>
      </c>
      <c r="AQ7" s="84" t="s">
        <v>179</v>
      </c>
      <c r="AR7" s="85" t="n">
        <f aca="false">IFERROR(--REPLACE(SUBSTITUTE(AQ7,"T"," "),LEN(AQ7)-6,6,""),"")</f>
        <v>46113</v>
      </c>
      <c r="AS7" s="83" t="s">
        <v>98</v>
      </c>
      <c r="AT7" s="83"/>
      <c r="AU7" s="83" t="s">
        <v>120</v>
      </c>
      <c r="AV7" s="83"/>
      <c r="AW7" s="88" t="s">
        <v>125</v>
      </c>
      <c r="AX7" s="88" t="s">
        <v>180</v>
      </c>
      <c r="AY7" s="83" t="s">
        <v>181</v>
      </c>
      <c r="AZ7" s="83" t="s">
        <v>190</v>
      </c>
      <c r="BA7" s="83" t="s">
        <v>183</v>
      </c>
      <c r="BB7" s="83"/>
      <c r="BC7" s="83"/>
      <c r="BD7" s="83" t="s">
        <v>184</v>
      </c>
      <c r="BE7" s="83" t="s">
        <v>185</v>
      </c>
      <c r="BF7" s="83" t="s">
        <v>123</v>
      </c>
      <c r="BG7" s="88" t="s">
        <v>124</v>
      </c>
      <c r="BH7" s="88" t="s">
        <v>125</v>
      </c>
      <c r="BI7" s="88" t="s">
        <v>125</v>
      </c>
      <c r="BJ7" s="88" t="s">
        <v>126</v>
      </c>
      <c r="BK7" s="83" t="s">
        <v>186</v>
      </c>
      <c r="BL7" s="89" t="n">
        <v>2024</v>
      </c>
      <c r="BM7" s="90" t="n">
        <v>0</v>
      </c>
      <c r="BN7" s="83" t="s">
        <v>191</v>
      </c>
      <c r="BO7" s="91" t="n">
        <f aca="false">IF(SUMPRODUCT(($A$2:$A8=A8)*($N$2:$N8=N8))&gt;1,0,1)</f>
        <v>1</v>
      </c>
    </row>
    <row r="8" customFormat="false" ht="15" hidden="false" customHeight="false" outlineLevel="0" collapsed="false">
      <c r="A8" s="83" t="s">
        <v>97</v>
      </c>
      <c r="B8" s="83" t="s">
        <v>98</v>
      </c>
      <c r="C8" s="83"/>
      <c r="D8" s="83" t="s">
        <v>170</v>
      </c>
      <c r="E8" s="83" t="s">
        <v>171</v>
      </c>
      <c r="F8" s="83" t="s">
        <v>102</v>
      </c>
      <c r="G8" s="84" t="s">
        <v>103</v>
      </c>
      <c r="H8" s="85" t="n">
        <f aca="false">IFERROR(--REPLACE(SUBSTITUTE(G8,"T"," "),LEN(G8)-6,6,""),"")</f>
        <v>45444</v>
      </c>
      <c r="I8" s="84" t="s">
        <v>104</v>
      </c>
      <c r="J8" s="85" t="n">
        <f aca="false">IFERROR(--REPLACE(SUBSTITUTE(I8,"T"," "),LEN(I8)-6,6,""),"")</f>
        <v>45809</v>
      </c>
      <c r="K8" s="83"/>
      <c r="L8" s="83" t="s">
        <v>105</v>
      </c>
      <c r="M8" s="83" t="s">
        <v>106</v>
      </c>
      <c r="N8" s="83" t="s">
        <v>192</v>
      </c>
      <c r="O8" s="83" t="s">
        <v>108</v>
      </c>
      <c r="P8" s="83" t="s">
        <v>173</v>
      </c>
      <c r="Q8" s="84" t="s">
        <v>193</v>
      </c>
      <c r="R8" s="85" t="n">
        <f aca="false">IFERROR(--REPLACE(SUBSTITUTE(Q8,"T"," "),LEN(Q8)-6,6,""),"")</f>
        <v>45693</v>
      </c>
      <c r="S8" s="83" t="s">
        <v>111</v>
      </c>
      <c r="T8" s="86" t="n">
        <v>0</v>
      </c>
      <c r="U8" s="86" t="n">
        <v>50</v>
      </c>
      <c r="V8" s="86" t="n">
        <v>50</v>
      </c>
      <c r="W8" s="86" t="n">
        <v>0</v>
      </c>
      <c r="X8" s="86" t="n">
        <v>0</v>
      </c>
      <c r="Y8" s="86" t="n">
        <v>0</v>
      </c>
      <c r="Z8" s="86" t="n">
        <v>0</v>
      </c>
      <c r="AA8" s="86" t="n">
        <v>0</v>
      </c>
      <c r="AB8" s="86"/>
      <c r="AC8" s="86" t="n">
        <v>0</v>
      </c>
      <c r="AD8" s="86" t="n">
        <v>0</v>
      </c>
      <c r="AE8" s="86" t="n">
        <v>0</v>
      </c>
      <c r="AF8" s="87"/>
      <c r="AG8" s="87" t="s">
        <v>175</v>
      </c>
      <c r="AH8" s="87" t="s">
        <v>176</v>
      </c>
      <c r="AI8" s="87" t="s">
        <v>177</v>
      </c>
      <c r="AJ8" s="87"/>
      <c r="AK8" s="87"/>
      <c r="AL8" s="87"/>
      <c r="AM8" s="87"/>
      <c r="AN8" s="84" t="s">
        <v>178</v>
      </c>
      <c r="AO8" s="85" t="n">
        <f aca="false">IFERROR(--REPLACE(SUBSTITUTE(AN8,"T"," "),LEN(AN8)-6,6,""),"")</f>
        <v>46111</v>
      </c>
      <c r="AP8" s="83" t="s">
        <v>116</v>
      </c>
      <c r="AQ8" s="84" t="s">
        <v>194</v>
      </c>
      <c r="AR8" s="85" t="n">
        <f aca="false">IFERROR(--REPLACE(SUBSTITUTE(AQ8,"T"," "),LEN(AQ8)-6,6,""),"")</f>
        <v>46118</v>
      </c>
      <c r="AS8" s="83" t="s">
        <v>98</v>
      </c>
      <c r="AT8" s="83"/>
      <c r="AU8" s="83" t="s">
        <v>195</v>
      </c>
      <c r="AV8" s="83"/>
      <c r="AW8" s="88" t="s">
        <v>125</v>
      </c>
      <c r="AX8" s="88" t="s">
        <v>196</v>
      </c>
      <c r="AY8" s="83" t="s">
        <v>181</v>
      </c>
      <c r="AZ8" s="83" t="s">
        <v>182</v>
      </c>
      <c r="BA8" s="83" t="s">
        <v>197</v>
      </c>
      <c r="BB8" s="83"/>
      <c r="BC8" s="83"/>
      <c r="BD8" s="83" t="s">
        <v>184</v>
      </c>
      <c r="BE8" s="83" t="s">
        <v>185</v>
      </c>
      <c r="BF8" s="83" t="s">
        <v>123</v>
      </c>
      <c r="BG8" s="88" t="s">
        <v>124</v>
      </c>
      <c r="BH8" s="88" t="s">
        <v>125</v>
      </c>
      <c r="BI8" s="88" t="s">
        <v>125</v>
      </c>
      <c r="BJ8" s="88" t="s">
        <v>126</v>
      </c>
      <c r="BK8" s="83" t="s">
        <v>186</v>
      </c>
      <c r="BL8" s="89" t="n">
        <v>2024</v>
      </c>
      <c r="BM8" s="90" t="n">
        <v>0</v>
      </c>
      <c r="BN8" s="83" t="s">
        <v>198</v>
      </c>
      <c r="BO8" s="91" t="n">
        <f aca="false">IF(SUMPRODUCT(($A$2:$A9=A9)*($N$2:$N9=N9))&gt;1,0,1)</f>
        <v>1</v>
      </c>
    </row>
    <row r="9" customFormat="false" ht="15" hidden="false" customHeight="false" outlineLevel="0" collapsed="false">
      <c r="A9" s="83" t="s">
        <v>97</v>
      </c>
      <c r="B9" s="83" t="s">
        <v>98</v>
      </c>
      <c r="C9" s="83"/>
      <c r="D9" s="83" t="s">
        <v>170</v>
      </c>
      <c r="E9" s="83" t="s">
        <v>171</v>
      </c>
      <c r="F9" s="83" t="s">
        <v>102</v>
      </c>
      <c r="G9" s="84" t="s">
        <v>103</v>
      </c>
      <c r="H9" s="85" t="n">
        <f aca="false">IFERROR(--REPLACE(SUBSTITUTE(G9,"T"," "),LEN(G9)-6,6,""),"")</f>
        <v>45444</v>
      </c>
      <c r="I9" s="84" t="s">
        <v>104</v>
      </c>
      <c r="J9" s="85" t="n">
        <f aca="false">IFERROR(--REPLACE(SUBSTITUTE(I9,"T"," "),LEN(I9)-6,6,""),"")</f>
        <v>45809</v>
      </c>
      <c r="K9" s="83"/>
      <c r="L9" s="83" t="s">
        <v>105</v>
      </c>
      <c r="M9" s="83" t="s">
        <v>106</v>
      </c>
      <c r="N9" s="83" t="s">
        <v>199</v>
      </c>
      <c r="O9" s="83" t="s">
        <v>108</v>
      </c>
      <c r="P9" s="83" t="s">
        <v>173</v>
      </c>
      <c r="Q9" s="84" t="s">
        <v>200</v>
      </c>
      <c r="R9" s="85" t="n">
        <f aca="false">IFERROR(--REPLACE(SUBSTITUTE(Q9,"T"," "),LEN(Q9)-6,6,""),"")</f>
        <v>45707</v>
      </c>
      <c r="S9" s="83" t="s">
        <v>111</v>
      </c>
      <c r="T9" s="86" t="n">
        <v>0</v>
      </c>
      <c r="U9" s="86" t="n">
        <v>50</v>
      </c>
      <c r="V9" s="86" t="n">
        <v>50</v>
      </c>
      <c r="W9" s="86" t="n">
        <v>0</v>
      </c>
      <c r="X9" s="86" t="n">
        <v>0</v>
      </c>
      <c r="Y9" s="86" t="n">
        <v>0</v>
      </c>
      <c r="Z9" s="86" t="n">
        <v>0</v>
      </c>
      <c r="AA9" s="86" t="n">
        <v>0</v>
      </c>
      <c r="AB9" s="86"/>
      <c r="AC9" s="86" t="n">
        <v>0</v>
      </c>
      <c r="AD9" s="86" t="n">
        <v>0</v>
      </c>
      <c r="AE9" s="86" t="n">
        <v>0</v>
      </c>
      <c r="AF9" s="87"/>
      <c r="AG9" s="87" t="s">
        <v>175</v>
      </c>
      <c r="AH9" s="87" t="s">
        <v>176</v>
      </c>
      <c r="AI9" s="87" t="s">
        <v>177</v>
      </c>
      <c r="AJ9" s="87"/>
      <c r="AK9" s="87"/>
      <c r="AL9" s="87"/>
      <c r="AM9" s="87"/>
      <c r="AN9" s="84" t="s">
        <v>160</v>
      </c>
      <c r="AO9" s="85" t="n">
        <f aca="false">IFERROR(--REPLACE(SUBSTITUTE(AN9,"T"," "),LEN(AN9)-6,6,""),"")</f>
        <v>46112</v>
      </c>
      <c r="AP9" s="83" t="s">
        <v>116</v>
      </c>
      <c r="AQ9" s="84" t="s">
        <v>179</v>
      </c>
      <c r="AR9" s="85" t="n">
        <f aca="false">IFERROR(--REPLACE(SUBSTITUTE(AQ9,"T"," "),LEN(AQ9)-6,6,""),"")</f>
        <v>46113</v>
      </c>
      <c r="AS9" s="83" t="s">
        <v>98</v>
      </c>
      <c r="AT9" s="83"/>
      <c r="AU9" s="83" t="s">
        <v>195</v>
      </c>
      <c r="AV9" s="83"/>
      <c r="AW9" s="88" t="s">
        <v>125</v>
      </c>
      <c r="AX9" s="88" t="s">
        <v>201</v>
      </c>
      <c r="AY9" s="83" t="s">
        <v>202</v>
      </c>
      <c r="AZ9" s="83" t="s">
        <v>203</v>
      </c>
      <c r="BA9" s="83" t="s">
        <v>204</v>
      </c>
      <c r="BB9" s="83"/>
      <c r="BC9" s="83"/>
      <c r="BD9" s="83" t="s">
        <v>184</v>
      </c>
      <c r="BE9" s="83" t="s">
        <v>185</v>
      </c>
      <c r="BF9" s="83" t="s">
        <v>123</v>
      </c>
      <c r="BG9" s="88" t="s">
        <v>124</v>
      </c>
      <c r="BH9" s="88" t="s">
        <v>125</v>
      </c>
      <c r="BI9" s="88" t="s">
        <v>125</v>
      </c>
      <c r="BJ9" s="88" t="s">
        <v>126</v>
      </c>
      <c r="BK9" s="83" t="s">
        <v>186</v>
      </c>
      <c r="BL9" s="89" t="n">
        <v>2024</v>
      </c>
      <c r="BM9" s="90" t="n">
        <v>0</v>
      </c>
      <c r="BN9" s="83" t="s">
        <v>205</v>
      </c>
      <c r="BO9" s="91" t="n">
        <f aca="false">IF(SUMPRODUCT(($A$2:$A10=A10)*($N$2:$N10=N10))&gt;1,0,1)</f>
        <v>1</v>
      </c>
    </row>
    <row r="10" customFormat="false" ht="15" hidden="false" customHeight="false" outlineLevel="0" collapsed="false">
      <c r="A10" s="83" t="s">
        <v>97</v>
      </c>
      <c r="B10" s="83" t="s">
        <v>98</v>
      </c>
      <c r="C10" s="83"/>
      <c r="D10" s="83" t="s">
        <v>170</v>
      </c>
      <c r="E10" s="83" t="s">
        <v>171</v>
      </c>
      <c r="F10" s="83" t="s">
        <v>102</v>
      </c>
      <c r="G10" s="84" t="s">
        <v>103</v>
      </c>
      <c r="H10" s="85" t="n">
        <f aca="false">IFERROR(--REPLACE(SUBSTITUTE(G10,"T"," "),LEN(G10)-6,6,""),"")</f>
        <v>45444</v>
      </c>
      <c r="I10" s="84" t="s">
        <v>104</v>
      </c>
      <c r="J10" s="85" t="n">
        <f aca="false">IFERROR(--REPLACE(SUBSTITUTE(I10,"T"," "),LEN(I10)-6,6,""),"")</f>
        <v>45809</v>
      </c>
      <c r="K10" s="83"/>
      <c r="L10" s="83" t="s">
        <v>105</v>
      </c>
      <c r="M10" s="83" t="s">
        <v>106</v>
      </c>
      <c r="N10" s="83" t="s">
        <v>206</v>
      </c>
      <c r="O10" s="83" t="s">
        <v>108</v>
      </c>
      <c r="P10" s="83" t="s">
        <v>173</v>
      </c>
      <c r="Q10" s="84" t="s">
        <v>207</v>
      </c>
      <c r="R10" s="85" t="n">
        <f aca="false">IFERROR(--REPLACE(SUBSTITUTE(Q10,"T"," "),LEN(Q10)-6,6,""),"")</f>
        <v>45679</v>
      </c>
      <c r="S10" s="83" t="s">
        <v>111</v>
      </c>
      <c r="T10" s="86" t="n">
        <v>0</v>
      </c>
      <c r="U10" s="86" t="n">
        <v>50</v>
      </c>
      <c r="V10" s="86" t="n">
        <v>50</v>
      </c>
      <c r="W10" s="86" t="n">
        <v>0</v>
      </c>
      <c r="X10" s="86" t="n">
        <v>0</v>
      </c>
      <c r="Y10" s="86" t="n">
        <v>0</v>
      </c>
      <c r="Z10" s="86" t="n">
        <v>0</v>
      </c>
      <c r="AA10" s="86" t="n">
        <v>0</v>
      </c>
      <c r="AB10" s="86"/>
      <c r="AC10" s="86" t="n">
        <v>0</v>
      </c>
      <c r="AD10" s="86" t="n">
        <v>0</v>
      </c>
      <c r="AE10" s="86" t="n">
        <v>0</v>
      </c>
      <c r="AF10" s="87"/>
      <c r="AG10" s="87" t="s">
        <v>175</v>
      </c>
      <c r="AH10" s="87" t="s">
        <v>176</v>
      </c>
      <c r="AI10" s="87" t="s">
        <v>177</v>
      </c>
      <c r="AJ10" s="87"/>
      <c r="AK10" s="87"/>
      <c r="AL10" s="87"/>
      <c r="AM10" s="87"/>
      <c r="AN10" s="84" t="s">
        <v>160</v>
      </c>
      <c r="AO10" s="85" t="n">
        <f aca="false">IFERROR(--REPLACE(SUBSTITUTE(AN10,"T"," "),LEN(AN10)-6,6,""),"")</f>
        <v>46112</v>
      </c>
      <c r="AP10" s="83" t="s">
        <v>116</v>
      </c>
      <c r="AQ10" s="84" t="s">
        <v>179</v>
      </c>
      <c r="AR10" s="85" t="n">
        <f aca="false">IFERROR(--REPLACE(SUBSTITUTE(AQ10,"T"," "),LEN(AQ10)-6,6,""),"")</f>
        <v>46113</v>
      </c>
      <c r="AS10" s="83" t="s">
        <v>98</v>
      </c>
      <c r="AT10" s="83"/>
      <c r="AU10" s="83" t="s">
        <v>195</v>
      </c>
      <c r="AV10" s="83"/>
      <c r="AW10" s="88" t="s">
        <v>125</v>
      </c>
      <c r="AX10" s="88" t="s">
        <v>180</v>
      </c>
      <c r="AY10" s="83" t="s">
        <v>181</v>
      </c>
      <c r="AZ10" s="83" t="s">
        <v>182</v>
      </c>
      <c r="BA10" s="83" t="s">
        <v>183</v>
      </c>
      <c r="BB10" s="83"/>
      <c r="BC10" s="83"/>
      <c r="BD10" s="83" t="s">
        <v>184</v>
      </c>
      <c r="BE10" s="83" t="s">
        <v>185</v>
      </c>
      <c r="BF10" s="83" t="s">
        <v>123</v>
      </c>
      <c r="BG10" s="88" t="s">
        <v>124</v>
      </c>
      <c r="BH10" s="88" t="s">
        <v>125</v>
      </c>
      <c r="BI10" s="88" t="s">
        <v>125</v>
      </c>
      <c r="BJ10" s="88" t="s">
        <v>126</v>
      </c>
      <c r="BK10" s="83" t="s">
        <v>186</v>
      </c>
      <c r="BL10" s="89" t="n">
        <v>2024</v>
      </c>
      <c r="BM10" s="90" t="n">
        <v>0</v>
      </c>
      <c r="BN10" s="83" t="s">
        <v>208</v>
      </c>
      <c r="BO10" s="91" t="n">
        <f aca="false">IF(SUMPRODUCT(($A$2:$A11=A11)*($N$2:$N11=N11))&gt;1,0,1)</f>
        <v>1</v>
      </c>
    </row>
    <row r="11" customFormat="false" ht="15" hidden="false" customHeight="false" outlineLevel="0" collapsed="false">
      <c r="A11" s="83" t="s">
        <v>97</v>
      </c>
      <c r="B11" s="83" t="s">
        <v>98</v>
      </c>
      <c r="C11" s="83"/>
      <c r="D11" s="83" t="s">
        <v>170</v>
      </c>
      <c r="E11" s="83" t="s">
        <v>171</v>
      </c>
      <c r="F11" s="83" t="s">
        <v>102</v>
      </c>
      <c r="G11" s="84" t="s">
        <v>103</v>
      </c>
      <c r="H11" s="85" t="n">
        <f aca="false">IFERROR(--REPLACE(SUBSTITUTE(G11,"T"," "),LEN(G11)-6,6,""),"")</f>
        <v>45444</v>
      </c>
      <c r="I11" s="84" t="s">
        <v>104</v>
      </c>
      <c r="J11" s="85" t="n">
        <f aca="false">IFERROR(--REPLACE(SUBSTITUTE(I11,"T"," "),LEN(I11)-6,6,""),"")</f>
        <v>45809</v>
      </c>
      <c r="K11" s="83"/>
      <c r="L11" s="83" t="s">
        <v>105</v>
      </c>
      <c r="M11" s="83" t="s">
        <v>106</v>
      </c>
      <c r="N11" s="83" t="s">
        <v>209</v>
      </c>
      <c r="O11" s="83" t="s">
        <v>108</v>
      </c>
      <c r="P11" s="83" t="s">
        <v>173</v>
      </c>
      <c r="Q11" s="84" t="s">
        <v>210</v>
      </c>
      <c r="R11" s="85" t="n">
        <f aca="false">IFERROR(--REPLACE(SUBSTITUTE(Q11,"T"," "),LEN(Q11)-6,6,""),"")</f>
        <v>45510</v>
      </c>
      <c r="S11" s="83" t="s">
        <v>111</v>
      </c>
      <c r="T11" s="86" t="n">
        <v>0</v>
      </c>
      <c r="U11" s="86" t="n">
        <v>85</v>
      </c>
      <c r="V11" s="86" t="n">
        <v>85</v>
      </c>
      <c r="W11" s="86" t="n">
        <v>0</v>
      </c>
      <c r="X11" s="86" t="n">
        <v>0</v>
      </c>
      <c r="Y11" s="86" t="n">
        <v>0</v>
      </c>
      <c r="Z11" s="86" t="n">
        <v>0</v>
      </c>
      <c r="AA11" s="86" t="n">
        <v>0</v>
      </c>
      <c r="AB11" s="86"/>
      <c r="AC11" s="86" t="n">
        <v>0</v>
      </c>
      <c r="AD11" s="86" t="n">
        <v>0</v>
      </c>
      <c r="AE11" s="86" t="n">
        <v>0</v>
      </c>
      <c r="AF11" s="87"/>
      <c r="AG11" s="87" t="s">
        <v>175</v>
      </c>
      <c r="AH11" s="87" t="s">
        <v>176</v>
      </c>
      <c r="AI11" s="87" t="s">
        <v>177</v>
      </c>
      <c r="AJ11" s="87"/>
      <c r="AK11" s="87"/>
      <c r="AL11" s="87"/>
      <c r="AM11" s="87"/>
      <c r="AN11" s="84" t="s">
        <v>160</v>
      </c>
      <c r="AO11" s="85" t="n">
        <f aca="false">IFERROR(--REPLACE(SUBSTITUTE(AN11,"T"," "),LEN(AN11)-6,6,""),"")</f>
        <v>46112</v>
      </c>
      <c r="AP11" s="83" t="s">
        <v>116</v>
      </c>
      <c r="AQ11" s="84" t="s">
        <v>194</v>
      </c>
      <c r="AR11" s="85" t="n">
        <f aca="false">IFERROR(--REPLACE(SUBSTITUTE(AQ11,"T"," "),LEN(AQ11)-6,6,""),"")</f>
        <v>46118</v>
      </c>
      <c r="AS11" s="83" t="s">
        <v>98</v>
      </c>
      <c r="AT11" s="83"/>
      <c r="AU11" s="83" t="s">
        <v>166</v>
      </c>
      <c r="AV11" s="83"/>
      <c r="AW11" s="88" t="s">
        <v>125</v>
      </c>
      <c r="AX11" s="88" t="s">
        <v>211</v>
      </c>
      <c r="AY11" s="83" t="s">
        <v>181</v>
      </c>
      <c r="AZ11" s="83" t="s">
        <v>190</v>
      </c>
      <c r="BA11" s="83" t="s">
        <v>212</v>
      </c>
      <c r="BB11" s="83"/>
      <c r="BC11" s="83" t="s">
        <v>111</v>
      </c>
      <c r="BD11" s="83" t="s">
        <v>184</v>
      </c>
      <c r="BE11" s="83" t="s">
        <v>185</v>
      </c>
      <c r="BF11" s="83" t="s">
        <v>123</v>
      </c>
      <c r="BG11" s="88" t="s">
        <v>124</v>
      </c>
      <c r="BH11" s="88" t="s">
        <v>125</v>
      </c>
      <c r="BI11" s="88" t="s">
        <v>125</v>
      </c>
      <c r="BJ11" s="88" t="s">
        <v>126</v>
      </c>
      <c r="BK11" s="83" t="s">
        <v>186</v>
      </c>
      <c r="BL11" s="89" t="n">
        <v>2024</v>
      </c>
      <c r="BM11" s="90" t="n">
        <v>0</v>
      </c>
      <c r="BN11" s="83" t="s">
        <v>213</v>
      </c>
      <c r="BO11" s="91" t="n">
        <f aca="false">IF(SUMPRODUCT(($A$2:$A12=A12)*($N$2:$N12=N12))&gt;1,0,1)</f>
        <v>1</v>
      </c>
    </row>
    <row r="12" customFormat="false" ht="15" hidden="false" customHeight="false" outlineLevel="0" collapsed="false">
      <c r="A12" s="83" t="s">
        <v>97</v>
      </c>
      <c r="B12" s="83" t="s">
        <v>98</v>
      </c>
      <c r="C12" s="83" t="s">
        <v>99</v>
      </c>
      <c r="D12" s="83" t="s">
        <v>100</v>
      </c>
      <c r="E12" s="83" t="s">
        <v>101</v>
      </c>
      <c r="F12" s="83" t="s">
        <v>102</v>
      </c>
      <c r="G12" s="84" t="s">
        <v>103</v>
      </c>
      <c r="H12" s="85" t="n">
        <f aca="false">IFERROR(--REPLACE(SUBSTITUTE(G12,"T"," "),LEN(G12)-6,6,""),"")</f>
        <v>45444</v>
      </c>
      <c r="I12" s="84" t="s">
        <v>104</v>
      </c>
      <c r="J12" s="85" t="n">
        <f aca="false">IFERROR(--REPLACE(SUBSTITUTE(I12,"T"," "),LEN(I12)-6,6,""),"")</f>
        <v>45809</v>
      </c>
      <c r="K12" s="83"/>
      <c r="L12" s="83" t="s">
        <v>105</v>
      </c>
      <c r="M12" s="83" t="s">
        <v>106</v>
      </c>
      <c r="N12" s="83" t="s">
        <v>214</v>
      </c>
      <c r="O12" s="83" t="s">
        <v>146</v>
      </c>
      <c r="P12" s="83" t="s">
        <v>147</v>
      </c>
      <c r="Q12" s="84" t="s">
        <v>215</v>
      </c>
      <c r="R12" s="85" t="n">
        <f aca="false">IFERROR(--REPLACE(SUBSTITUTE(Q12,"T"," "),LEN(Q12)-6,6,""),"")</f>
        <v>45524</v>
      </c>
      <c r="S12" s="83" t="s">
        <v>111</v>
      </c>
      <c r="T12" s="86" t="n">
        <v>0</v>
      </c>
      <c r="U12" s="86" t="n">
        <v>108.13</v>
      </c>
      <c r="V12" s="86" t="n">
        <v>108.13</v>
      </c>
      <c r="W12" s="86" t="n">
        <v>9.07</v>
      </c>
      <c r="X12" s="86" t="n">
        <v>0</v>
      </c>
      <c r="Y12" s="86" t="n">
        <v>0</v>
      </c>
      <c r="Z12" s="86" t="n">
        <v>0</v>
      </c>
      <c r="AA12" s="86" t="n">
        <v>0</v>
      </c>
      <c r="AB12" s="86"/>
      <c r="AC12" s="86" t="n">
        <v>9.07</v>
      </c>
      <c r="AD12" s="86" t="n">
        <v>9.07</v>
      </c>
      <c r="AE12" s="86" t="n">
        <v>0</v>
      </c>
      <c r="AF12" s="87"/>
      <c r="AG12" s="87" t="s">
        <v>216</v>
      </c>
      <c r="AH12" s="87" t="s">
        <v>217</v>
      </c>
      <c r="AI12" s="87" t="s">
        <v>218</v>
      </c>
      <c r="AJ12" s="87"/>
      <c r="AK12" s="87"/>
      <c r="AL12" s="87"/>
      <c r="AM12" s="87"/>
      <c r="AN12" s="84" t="s">
        <v>219</v>
      </c>
      <c r="AO12" s="85" t="n">
        <f aca="false">IFERROR(--REPLACE(SUBSTITUTE(AN12,"T"," "),LEN(AN12)-6,6,""),"")</f>
        <v>45530</v>
      </c>
      <c r="AP12" s="83" t="s">
        <v>116</v>
      </c>
      <c r="AQ12" s="84" t="s">
        <v>220</v>
      </c>
      <c r="AR12" s="85" t="n">
        <f aca="false">IFERROR(--REPLACE(SUBSTITUTE(AQ12,"T"," "),LEN(AQ12)-6,6,""),"")</f>
        <v>45581</v>
      </c>
      <c r="AS12" s="83" t="s">
        <v>221</v>
      </c>
      <c r="AT12" s="83" t="s">
        <v>222</v>
      </c>
      <c r="AU12" s="83" t="s">
        <v>166</v>
      </c>
      <c r="AV12" s="83"/>
      <c r="AW12" s="88"/>
      <c r="AX12" s="88"/>
      <c r="AY12" s="83"/>
      <c r="AZ12" s="83"/>
      <c r="BA12" s="83"/>
      <c r="BB12" s="83"/>
      <c r="BC12" s="83"/>
      <c r="BD12" s="83" t="s">
        <v>223</v>
      </c>
      <c r="BE12" s="83" t="s">
        <v>224</v>
      </c>
      <c r="BF12" s="83" t="s">
        <v>123</v>
      </c>
      <c r="BG12" s="88" t="s">
        <v>124</v>
      </c>
      <c r="BH12" s="88" t="s">
        <v>125</v>
      </c>
      <c r="BI12" s="88" t="s">
        <v>125</v>
      </c>
      <c r="BJ12" s="88" t="s">
        <v>126</v>
      </c>
      <c r="BK12" s="83" t="s">
        <v>127</v>
      </c>
      <c r="BL12" s="89" t="n">
        <v>2024</v>
      </c>
      <c r="BM12" s="90" t="n">
        <v>0</v>
      </c>
      <c r="BN12" s="83" t="s">
        <v>225</v>
      </c>
      <c r="BO12" s="91" t="n">
        <f aca="false">IF(SUMPRODUCT(($A$2:$A13=A13)*($N$2:$N13=N13))&gt;1,0,1)</f>
        <v>1</v>
      </c>
    </row>
    <row r="13" customFormat="false" ht="15" hidden="false" customHeight="false" outlineLevel="0" collapsed="false">
      <c r="A13" s="83" t="s">
        <v>97</v>
      </c>
      <c r="B13" s="83" t="s">
        <v>98</v>
      </c>
      <c r="C13" s="83"/>
      <c r="D13" s="83" t="s">
        <v>170</v>
      </c>
      <c r="E13" s="83" t="s">
        <v>171</v>
      </c>
      <c r="F13" s="83" t="s">
        <v>102</v>
      </c>
      <c r="G13" s="84" t="s">
        <v>103</v>
      </c>
      <c r="H13" s="85" t="n">
        <f aca="false">IFERROR(--REPLACE(SUBSTITUTE(G13,"T"," "),LEN(G13)-6,6,""),"")</f>
        <v>45444</v>
      </c>
      <c r="I13" s="84" t="s">
        <v>104</v>
      </c>
      <c r="J13" s="85" t="n">
        <f aca="false">IFERROR(--REPLACE(SUBSTITUTE(I13,"T"," "),LEN(I13)-6,6,""),"")</f>
        <v>45809</v>
      </c>
      <c r="K13" s="83"/>
      <c r="L13" s="83" t="s">
        <v>105</v>
      </c>
      <c r="M13" s="83" t="s">
        <v>106</v>
      </c>
      <c r="N13" s="83" t="s">
        <v>226</v>
      </c>
      <c r="O13" s="83" t="s">
        <v>108</v>
      </c>
      <c r="P13" s="83" t="s">
        <v>173</v>
      </c>
      <c r="Q13" s="84" t="s">
        <v>227</v>
      </c>
      <c r="R13" s="85" t="n">
        <f aca="false">IFERROR(--REPLACE(SUBSTITUTE(Q13,"T"," "),LEN(Q13)-6,6,""),"")</f>
        <v>45573</v>
      </c>
      <c r="S13" s="83" t="s">
        <v>111</v>
      </c>
      <c r="T13" s="86" t="n">
        <v>0</v>
      </c>
      <c r="U13" s="86" t="n">
        <v>125</v>
      </c>
      <c r="V13" s="86" t="n">
        <v>125</v>
      </c>
      <c r="W13" s="86" t="n">
        <v>0</v>
      </c>
      <c r="X13" s="86" t="n">
        <v>0</v>
      </c>
      <c r="Y13" s="86" t="n">
        <v>0</v>
      </c>
      <c r="Z13" s="86" t="n">
        <v>0</v>
      </c>
      <c r="AA13" s="86" t="n">
        <v>0</v>
      </c>
      <c r="AB13" s="86"/>
      <c r="AC13" s="86" t="n">
        <v>0</v>
      </c>
      <c r="AD13" s="86" t="n">
        <v>0</v>
      </c>
      <c r="AE13" s="86" t="n">
        <v>0</v>
      </c>
      <c r="AF13" s="87"/>
      <c r="AG13" s="87" t="s">
        <v>175</v>
      </c>
      <c r="AH13" s="87" t="s">
        <v>176</v>
      </c>
      <c r="AI13" s="87" t="s">
        <v>177</v>
      </c>
      <c r="AJ13" s="87"/>
      <c r="AK13" s="87"/>
      <c r="AL13" s="87"/>
      <c r="AM13" s="87"/>
      <c r="AN13" s="84" t="s">
        <v>160</v>
      </c>
      <c r="AO13" s="85" t="n">
        <f aca="false">IFERROR(--REPLACE(SUBSTITUTE(AN13,"T"," "),LEN(AN13)-6,6,""),"")</f>
        <v>46112</v>
      </c>
      <c r="AP13" s="83" t="s">
        <v>116</v>
      </c>
      <c r="AQ13" s="84" t="s">
        <v>179</v>
      </c>
      <c r="AR13" s="85" t="n">
        <f aca="false">IFERROR(--REPLACE(SUBSTITUTE(AQ13,"T"," "),LEN(AQ13)-6,6,""),"")</f>
        <v>46113</v>
      </c>
      <c r="AS13" s="83" t="s">
        <v>98</v>
      </c>
      <c r="AT13" s="83"/>
      <c r="AU13" s="83" t="s">
        <v>166</v>
      </c>
      <c r="AV13" s="83"/>
      <c r="AW13" s="88" t="s">
        <v>125</v>
      </c>
      <c r="AX13" s="88" t="s">
        <v>228</v>
      </c>
      <c r="AY13" s="83" t="s">
        <v>181</v>
      </c>
      <c r="AZ13" s="83" t="s">
        <v>229</v>
      </c>
      <c r="BA13" s="83" t="s">
        <v>230</v>
      </c>
      <c r="BB13" s="83"/>
      <c r="BC13" s="83"/>
      <c r="BD13" s="83" t="s">
        <v>184</v>
      </c>
      <c r="BE13" s="83" t="s">
        <v>185</v>
      </c>
      <c r="BF13" s="83" t="s">
        <v>123</v>
      </c>
      <c r="BG13" s="88" t="s">
        <v>124</v>
      </c>
      <c r="BH13" s="88" t="s">
        <v>125</v>
      </c>
      <c r="BI13" s="88" t="s">
        <v>125</v>
      </c>
      <c r="BJ13" s="88" t="s">
        <v>126</v>
      </c>
      <c r="BK13" s="83" t="s">
        <v>186</v>
      </c>
      <c r="BL13" s="89" t="n">
        <v>2024</v>
      </c>
      <c r="BM13" s="90" t="n">
        <v>0</v>
      </c>
      <c r="BN13" s="83" t="s">
        <v>231</v>
      </c>
      <c r="BO13" s="91" t="n">
        <f aca="false">IF(SUMPRODUCT(($A$2:$A14=A14)*($N$2:$N14=N14))&gt;1,0,1)</f>
        <v>1</v>
      </c>
    </row>
    <row r="14" customFormat="false" ht="15" hidden="false" customHeight="false" outlineLevel="0" collapsed="false">
      <c r="A14" s="83" t="s">
        <v>97</v>
      </c>
      <c r="B14" s="83" t="s">
        <v>98</v>
      </c>
      <c r="C14" s="83"/>
      <c r="D14" s="83" t="s">
        <v>170</v>
      </c>
      <c r="E14" s="83" t="s">
        <v>171</v>
      </c>
      <c r="F14" s="83" t="s">
        <v>102</v>
      </c>
      <c r="G14" s="84" t="s">
        <v>103</v>
      </c>
      <c r="H14" s="85" t="n">
        <f aca="false">IFERROR(--REPLACE(SUBSTITUTE(G14,"T"," "),LEN(G14)-6,6,""),"")</f>
        <v>45444</v>
      </c>
      <c r="I14" s="84" t="s">
        <v>104</v>
      </c>
      <c r="J14" s="85" t="n">
        <f aca="false">IFERROR(--REPLACE(SUBSTITUTE(I14,"T"," "),LEN(I14)-6,6,""),"")</f>
        <v>45809</v>
      </c>
      <c r="K14" s="83"/>
      <c r="L14" s="83" t="s">
        <v>105</v>
      </c>
      <c r="M14" s="83" t="s">
        <v>106</v>
      </c>
      <c r="N14" s="83" t="s">
        <v>232</v>
      </c>
      <c r="O14" s="83" t="s">
        <v>108</v>
      </c>
      <c r="P14" s="83" t="s">
        <v>173</v>
      </c>
      <c r="Q14" s="84" t="s">
        <v>233</v>
      </c>
      <c r="R14" s="85" t="n">
        <f aca="false">IFERROR(--REPLACE(SUBSTITUTE(Q14,"T"," "),LEN(Q14)-6,6,""),"")</f>
        <v>45631</v>
      </c>
      <c r="S14" s="83" t="s">
        <v>111</v>
      </c>
      <c r="T14" s="86" t="n">
        <v>0</v>
      </c>
      <c r="U14" s="86" t="n">
        <v>125</v>
      </c>
      <c r="V14" s="86" t="n">
        <v>125</v>
      </c>
      <c r="W14" s="86" t="n">
        <v>0</v>
      </c>
      <c r="X14" s="86" t="n">
        <v>0</v>
      </c>
      <c r="Y14" s="86" t="n">
        <v>0</v>
      </c>
      <c r="Z14" s="86" t="n">
        <v>0</v>
      </c>
      <c r="AA14" s="86" t="n">
        <v>0</v>
      </c>
      <c r="AB14" s="86"/>
      <c r="AC14" s="86" t="n">
        <v>0</v>
      </c>
      <c r="AD14" s="86" t="n">
        <v>0</v>
      </c>
      <c r="AE14" s="86" t="n">
        <v>0</v>
      </c>
      <c r="AF14" s="87"/>
      <c r="AG14" s="87" t="s">
        <v>175</v>
      </c>
      <c r="AH14" s="87" t="s">
        <v>176</v>
      </c>
      <c r="AI14" s="87" t="s">
        <v>177</v>
      </c>
      <c r="AJ14" s="87"/>
      <c r="AK14" s="87"/>
      <c r="AL14" s="87"/>
      <c r="AM14" s="87"/>
      <c r="AN14" s="84" t="s">
        <v>160</v>
      </c>
      <c r="AO14" s="85" t="n">
        <f aca="false">IFERROR(--REPLACE(SUBSTITUTE(AN14,"T"," "),LEN(AN14)-6,6,""),"")</f>
        <v>46112</v>
      </c>
      <c r="AP14" s="83" t="s">
        <v>116</v>
      </c>
      <c r="AQ14" s="84" t="s">
        <v>179</v>
      </c>
      <c r="AR14" s="85" t="n">
        <f aca="false">IFERROR(--REPLACE(SUBSTITUTE(AQ14,"T"," "),LEN(AQ14)-6,6,""),"")</f>
        <v>46113</v>
      </c>
      <c r="AS14" s="83" t="s">
        <v>98</v>
      </c>
      <c r="AT14" s="83"/>
      <c r="AU14" s="83" t="s">
        <v>234</v>
      </c>
      <c r="AV14" s="83"/>
      <c r="AW14" s="88" t="s">
        <v>125</v>
      </c>
      <c r="AX14" s="88" t="s">
        <v>228</v>
      </c>
      <c r="AY14" s="83" t="s">
        <v>235</v>
      </c>
      <c r="AZ14" s="83" t="s">
        <v>236</v>
      </c>
      <c r="BA14" s="83" t="s">
        <v>237</v>
      </c>
      <c r="BB14" s="83"/>
      <c r="BC14" s="83"/>
      <c r="BD14" s="83" t="s">
        <v>184</v>
      </c>
      <c r="BE14" s="83" t="s">
        <v>185</v>
      </c>
      <c r="BF14" s="83" t="s">
        <v>123</v>
      </c>
      <c r="BG14" s="88" t="s">
        <v>124</v>
      </c>
      <c r="BH14" s="88" t="s">
        <v>125</v>
      </c>
      <c r="BI14" s="88" t="s">
        <v>125</v>
      </c>
      <c r="BJ14" s="88" t="s">
        <v>126</v>
      </c>
      <c r="BK14" s="83" t="s">
        <v>186</v>
      </c>
      <c r="BL14" s="89" t="n">
        <v>2024</v>
      </c>
      <c r="BM14" s="90" t="n">
        <v>0</v>
      </c>
      <c r="BN14" s="83" t="s">
        <v>238</v>
      </c>
      <c r="BO14" s="91" t="n">
        <f aca="false">IF(SUMPRODUCT(($A$2:$A15=A15)*($N$2:$N15=N15))&gt;1,0,1)</f>
        <v>1</v>
      </c>
    </row>
    <row r="15" customFormat="false" ht="15" hidden="false" customHeight="false" outlineLevel="0" collapsed="false">
      <c r="A15" s="83" t="s">
        <v>97</v>
      </c>
      <c r="B15" s="83" t="s">
        <v>98</v>
      </c>
      <c r="C15" s="83"/>
      <c r="D15" s="83" t="s">
        <v>170</v>
      </c>
      <c r="E15" s="83" t="s">
        <v>171</v>
      </c>
      <c r="F15" s="83" t="s">
        <v>102</v>
      </c>
      <c r="G15" s="84" t="s">
        <v>103</v>
      </c>
      <c r="H15" s="85" t="n">
        <f aca="false">IFERROR(--REPLACE(SUBSTITUTE(G15,"T"," "),LEN(G15)-6,6,""),"")</f>
        <v>45444</v>
      </c>
      <c r="I15" s="84" t="s">
        <v>104</v>
      </c>
      <c r="J15" s="85" t="n">
        <f aca="false">IFERROR(--REPLACE(SUBSTITUTE(I15,"T"," "),LEN(I15)-6,6,""),"")</f>
        <v>45809</v>
      </c>
      <c r="K15" s="83"/>
      <c r="L15" s="83" t="s">
        <v>105</v>
      </c>
      <c r="M15" s="83" t="s">
        <v>106</v>
      </c>
      <c r="N15" s="83" t="s">
        <v>239</v>
      </c>
      <c r="O15" s="83" t="s">
        <v>108</v>
      </c>
      <c r="P15" s="83" t="s">
        <v>173</v>
      </c>
      <c r="Q15" s="84" t="s">
        <v>240</v>
      </c>
      <c r="R15" s="85" t="n">
        <f aca="false">IFERROR(--REPLACE(SUBSTITUTE(Q15,"T"," "),LEN(Q15)-6,6,""),"")</f>
        <v>45532</v>
      </c>
      <c r="S15" s="83" t="s">
        <v>111</v>
      </c>
      <c r="T15" s="86" t="n">
        <v>0</v>
      </c>
      <c r="U15" s="86" t="n">
        <v>150</v>
      </c>
      <c r="V15" s="86" t="n">
        <v>150</v>
      </c>
      <c r="W15" s="86" t="n">
        <v>0</v>
      </c>
      <c r="X15" s="86" t="n">
        <v>0</v>
      </c>
      <c r="Y15" s="86" t="n">
        <v>0</v>
      </c>
      <c r="Z15" s="86" t="n">
        <v>0</v>
      </c>
      <c r="AA15" s="86" t="n">
        <v>0</v>
      </c>
      <c r="AB15" s="86"/>
      <c r="AC15" s="86" t="n">
        <v>0</v>
      </c>
      <c r="AD15" s="86" t="n">
        <v>0</v>
      </c>
      <c r="AE15" s="86" t="n">
        <v>0</v>
      </c>
      <c r="AF15" s="87"/>
      <c r="AG15" s="87" t="s">
        <v>175</v>
      </c>
      <c r="AH15" s="87" t="s">
        <v>176</v>
      </c>
      <c r="AI15" s="87" t="s">
        <v>177</v>
      </c>
      <c r="AJ15" s="87"/>
      <c r="AK15" s="87"/>
      <c r="AL15" s="87"/>
      <c r="AM15" s="87"/>
      <c r="AN15" s="84" t="s">
        <v>241</v>
      </c>
      <c r="AO15" s="85" t="n">
        <f aca="false">IFERROR(--REPLACE(SUBSTITUTE(AN15,"T"," "),LEN(AN15)-6,6,""),"")</f>
        <v>46108</v>
      </c>
      <c r="AP15" s="83" t="s">
        <v>116</v>
      </c>
      <c r="AQ15" s="84" t="s">
        <v>179</v>
      </c>
      <c r="AR15" s="85" t="n">
        <f aca="false">IFERROR(--REPLACE(SUBSTITUTE(AQ15,"T"," "),LEN(AQ15)-6,6,""),"")</f>
        <v>46113</v>
      </c>
      <c r="AS15" s="83" t="s">
        <v>98</v>
      </c>
      <c r="AT15" s="83"/>
      <c r="AU15" s="83" t="s">
        <v>195</v>
      </c>
      <c r="AV15" s="83"/>
      <c r="AW15" s="88" t="s">
        <v>125</v>
      </c>
      <c r="AX15" s="88" t="s">
        <v>242</v>
      </c>
      <c r="AY15" s="83" t="s">
        <v>181</v>
      </c>
      <c r="AZ15" s="83" t="s">
        <v>190</v>
      </c>
      <c r="BA15" s="83" t="s">
        <v>243</v>
      </c>
      <c r="BB15" s="83"/>
      <c r="BC15" s="83" t="s">
        <v>111</v>
      </c>
      <c r="BD15" s="83" t="s">
        <v>184</v>
      </c>
      <c r="BE15" s="83" t="s">
        <v>185</v>
      </c>
      <c r="BF15" s="83" t="s">
        <v>123</v>
      </c>
      <c r="BG15" s="88" t="s">
        <v>124</v>
      </c>
      <c r="BH15" s="88" t="s">
        <v>125</v>
      </c>
      <c r="BI15" s="88" t="s">
        <v>125</v>
      </c>
      <c r="BJ15" s="88" t="s">
        <v>126</v>
      </c>
      <c r="BK15" s="83" t="s">
        <v>186</v>
      </c>
      <c r="BL15" s="89" t="n">
        <v>2024</v>
      </c>
      <c r="BM15" s="90" t="n">
        <v>0</v>
      </c>
      <c r="BN15" s="83" t="s">
        <v>244</v>
      </c>
      <c r="BO15" s="91" t="n">
        <f aca="false">IF(SUMPRODUCT(($A$2:$A16=A16)*($N$2:$N16=N16))&gt;1,0,1)</f>
        <v>1</v>
      </c>
    </row>
    <row r="16" customFormat="false" ht="15" hidden="false" customHeight="false" outlineLevel="0" collapsed="false">
      <c r="A16" s="83" t="s">
        <v>97</v>
      </c>
      <c r="B16" s="83" t="s">
        <v>98</v>
      </c>
      <c r="C16" s="83"/>
      <c r="D16" s="83" t="s">
        <v>170</v>
      </c>
      <c r="E16" s="83" t="s">
        <v>171</v>
      </c>
      <c r="F16" s="83" t="s">
        <v>102</v>
      </c>
      <c r="G16" s="84" t="s">
        <v>103</v>
      </c>
      <c r="H16" s="85" t="n">
        <f aca="false">IFERROR(--REPLACE(SUBSTITUTE(G16,"T"," "),LEN(G16)-6,6,""),"")</f>
        <v>45444</v>
      </c>
      <c r="I16" s="84" t="s">
        <v>104</v>
      </c>
      <c r="J16" s="85" t="n">
        <f aca="false">IFERROR(--REPLACE(SUBSTITUTE(I16,"T"," "),LEN(I16)-6,6,""),"")</f>
        <v>45809</v>
      </c>
      <c r="K16" s="83"/>
      <c r="L16" s="83" t="s">
        <v>105</v>
      </c>
      <c r="M16" s="83" t="s">
        <v>106</v>
      </c>
      <c r="N16" s="83" t="s">
        <v>245</v>
      </c>
      <c r="O16" s="83" t="s">
        <v>108</v>
      </c>
      <c r="P16" s="83" t="s">
        <v>173</v>
      </c>
      <c r="Q16" s="84" t="s">
        <v>246</v>
      </c>
      <c r="R16" s="85" t="n">
        <f aca="false">IFERROR(--REPLACE(SUBSTITUTE(Q16,"T"," "),LEN(Q16)-6,6,""),"")</f>
        <v>45807</v>
      </c>
      <c r="S16" s="83" t="s">
        <v>111</v>
      </c>
      <c r="T16" s="86" t="n">
        <v>0</v>
      </c>
      <c r="U16" s="86" t="n">
        <v>150</v>
      </c>
      <c r="V16" s="86" t="n">
        <v>150</v>
      </c>
      <c r="W16" s="86" t="n">
        <v>0</v>
      </c>
      <c r="X16" s="86" t="n">
        <v>0</v>
      </c>
      <c r="Y16" s="86" t="n">
        <v>0</v>
      </c>
      <c r="Z16" s="86" t="n">
        <v>0</v>
      </c>
      <c r="AA16" s="86" t="n">
        <v>0</v>
      </c>
      <c r="AB16" s="86"/>
      <c r="AC16" s="86" t="n">
        <v>0</v>
      </c>
      <c r="AD16" s="86" t="n">
        <v>0</v>
      </c>
      <c r="AE16" s="86" t="n">
        <v>0</v>
      </c>
      <c r="AF16" s="87"/>
      <c r="AG16" s="87" t="s">
        <v>175</v>
      </c>
      <c r="AH16" s="87" t="s">
        <v>176</v>
      </c>
      <c r="AI16" s="87" t="s">
        <v>177</v>
      </c>
      <c r="AJ16" s="87"/>
      <c r="AK16" s="87"/>
      <c r="AL16" s="87"/>
      <c r="AM16" s="87"/>
      <c r="AN16" s="84" t="s">
        <v>241</v>
      </c>
      <c r="AO16" s="85" t="n">
        <f aca="false">IFERROR(--REPLACE(SUBSTITUTE(AN16,"T"," "),LEN(AN16)-6,6,""),"")</f>
        <v>46108</v>
      </c>
      <c r="AP16" s="83" t="s">
        <v>116</v>
      </c>
      <c r="AQ16" s="84" t="s">
        <v>179</v>
      </c>
      <c r="AR16" s="85" t="n">
        <f aca="false">IFERROR(--REPLACE(SUBSTITUTE(AQ16,"T"," "),LEN(AQ16)-6,6,""),"")</f>
        <v>46113</v>
      </c>
      <c r="AS16" s="83" t="s">
        <v>98</v>
      </c>
      <c r="AT16" s="83"/>
      <c r="AU16" s="83" t="s">
        <v>120</v>
      </c>
      <c r="AV16" s="83"/>
      <c r="AW16" s="88" t="s">
        <v>125</v>
      </c>
      <c r="AX16" s="88" t="s">
        <v>196</v>
      </c>
      <c r="AY16" s="83" t="s">
        <v>181</v>
      </c>
      <c r="AZ16" s="83" t="s">
        <v>190</v>
      </c>
      <c r="BA16" s="83" t="s">
        <v>247</v>
      </c>
      <c r="BB16" s="83"/>
      <c r="BC16" s="83" t="s">
        <v>111</v>
      </c>
      <c r="BD16" s="83" t="s">
        <v>184</v>
      </c>
      <c r="BE16" s="83" t="s">
        <v>185</v>
      </c>
      <c r="BF16" s="83" t="s">
        <v>123</v>
      </c>
      <c r="BG16" s="88" t="s">
        <v>124</v>
      </c>
      <c r="BH16" s="88" t="s">
        <v>125</v>
      </c>
      <c r="BI16" s="88" t="s">
        <v>125</v>
      </c>
      <c r="BJ16" s="88" t="s">
        <v>126</v>
      </c>
      <c r="BK16" s="83" t="s">
        <v>186</v>
      </c>
      <c r="BL16" s="89" t="n">
        <v>2024</v>
      </c>
      <c r="BM16" s="90" t="n">
        <v>0</v>
      </c>
      <c r="BN16" s="83" t="s">
        <v>248</v>
      </c>
      <c r="BO16" s="91" t="n">
        <f aca="false">IF(SUMPRODUCT(($A$2:$A17=A17)*($N$2:$N17=N17))&gt;1,0,1)</f>
        <v>1</v>
      </c>
    </row>
    <row r="17" customFormat="false" ht="15" hidden="false" customHeight="false" outlineLevel="0" collapsed="false">
      <c r="A17" s="83" t="s">
        <v>97</v>
      </c>
      <c r="B17" s="83" t="s">
        <v>98</v>
      </c>
      <c r="C17" s="83"/>
      <c r="D17" s="83" t="s">
        <v>170</v>
      </c>
      <c r="E17" s="83" t="s">
        <v>171</v>
      </c>
      <c r="F17" s="83" t="s">
        <v>102</v>
      </c>
      <c r="G17" s="84" t="s">
        <v>103</v>
      </c>
      <c r="H17" s="85" t="n">
        <f aca="false">IFERROR(--REPLACE(SUBSTITUTE(G17,"T"," "),LEN(G17)-6,6,""),"")</f>
        <v>45444</v>
      </c>
      <c r="I17" s="84" t="s">
        <v>104</v>
      </c>
      <c r="J17" s="85" t="n">
        <f aca="false">IFERROR(--REPLACE(SUBSTITUTE(I17,"T"," "),LEN(I17)-6,6,""),"")</f>
        <v>45809</v>
      </c>
      <c r="K17" s="83"/>
      <c r="L17" s="83" t="s">
        <v>105</v>
      </c>
      <c r="M17" s="83" t="s">
        <v>106</v>
      </c>
      <c r="N17" s="83" t="s">
        <v>249</v>
      </c>
      <c r="O17" s="83" t="s">
        <v>108</v>
      </c>
      <c r="P17" s="83" t="s">
        <v>173</v>
      </c>
      <c r="Q17" s="84" t="s">
        <v>240</v>
      </c>
      <c r="R17" s="85" t="n">
        <f aca="false">IFERROR(--REPLACE(SUBSTITUTE(Q17,"T"," "),LEN(Q17)-6,6,""),"")</f>
        <v>45532</v>
      </c>
      <c r="S17" s="83" t="s">
        <v>111</v>
      </c>
      <c r="T17" s="86" t="n">
        <v>0</v>
      </c>
      <c r="U17" s="86" t="n">
        <v>150</v>
      </c>
      <c r="V17" s="86" t="n">
        <v>150</v>
      </c>
      <c r="W17" s="86" t="n">
        <v>0</v>
      </c>
      <c r="X17" s="86" t="n">
        <v>0</v>
      </c>
      <c r="Y17" s="86" t="n">
        <v>0</v>
      </c>
      <c r="Z17" s="86" t="n">
        <v>0</v>
      </c>
      <c r="AA17" s="86" t="n">
        <v>0</v>
      </c>
      <c r="AB17" s="86"/>
      <c r="AC17" s="86" t="n">
        <v>0</v>
      </c>
      <c r="AD17" s="86" t="n">
        <v>0</v>
      </c>
      <c r="AE17" s="86" t="n">
        <v>0</v>
      </c>
      <c r="AF17" s="87"/>
      <c r="AG17" s="87" t="s">
        <v>175</v>
      </c>
      <c r="AH17" s="87" t="s">
        <v>176</v>
      </c>
      <c r="AI17" s="87" t="s">
        <v>177</v>
      </c>
      <c r="AJ17" s="87"/>
      <c r="AK17" s="87"/>
      <c r="AL17" s="87"/>
      <c r="AM17" s="87"/>
      <c r="AN17" s="84" t="s">
        <v>178</v>
      </c>
      <c r="AO17" s="85" t="n">
        <f aca="false">IFERROR(--REPLACE(SUBSTITUTE(AN17,"T"," "),LEN(AN17)-6,6,""),"")</f>
        <v>46111</v>
      </c>
      <c r="AP17" s="83" t="s">
        <v>116</v>
      </c>
      <c r="AQ17" s="84" t="s">
        <v>179</v>
      </c>
      <c r="AR17" s="85" t="n">
        <f aca="false">IFERROR(--REPLACE(SUBSTITUTE(AQ17,"T"," "),LEN(AQ17)-6,6,""),"")</f>
        <v>46113</v>
      </c>
      <c r="AS17" s="83" t="s">
        <v>98</v>
      </c>
      <c r="AT17" s="83"/>
      <c r="AU17" s="83" t="s">
        <v>195</v>
      </c>
      <c r="AV17" s="83"/>
      <c r="AW17" s="88" t="s">
        <v>125</v>
      </c>
      <c r="AX17" s="88" t="s">
        <v>211</v>
      </c>
      <c r="AY17" s="83" t="s">
        <v>181</v>
      </c>
      <c r="AZ17" s="83" t="s">
        <v>190</v>
      </c>
      <c r="BA17" s="83" t="s">
        <v>250</v>
      </c>
      <c r="BB17" s="83"/>
      <c r="BC17" s="83"/>
      <c r="BD17" s="83" t="s">
        <v>184</v>
      </c>
      <c r="BE17" s="83" t="s">
        <v>185</v>
      </c>
      <c r="BF17" s="83" t="s">
        <v>123</v>
      </c>
      <c r="BG17" s="88" t="s">
        <v>124</v>
      </c>
      <c r="BH17" s="88" t="s">
        <v>125</v>
      </c>
      <c r="BI17" s="88" t="s">
        <v>125</v>
      </c>
      <c r="BJ17" s="88" t="s">
        <v>126</v>
      </c>
      <c r="BK17" s="83" t="s">
        <v>186</v>
      </c>
      <c r="BL17" s="89" t="n">
        <v>2024</v>
      </c>
      <c r="BM17" s="90" t="n">
        <v>0</v>
      </c>
      <c r="BN17" s="83" t="s">
        <v>251</v>
      </c>
      <c r="BO17" s="91" t="n">
        <f aca="false">IF(SUMPRODUCT(($A$2:$A18=A18)*($N$2:$N18=N18))&gt;1,0,1)</f>
        <v>1</v>
      </c>
    </row>
    <row r="18" customFormat="false" ht="15" hidden="false" customHeight="false" outlineLevel="0" collapsed="false">
      <c r="A18" s="83" t="s">
        <v>97</v>
      </c>
      <c r="B18" s="83" t="s">
        <v>98</v>
      </c>
      <c r="C18" s="83"/>
      <c r="D18" s="83" t="s">
        <v>170</v>
      </c>
      <c r="E18" s="83" t="s">
        <v>171</v>
      </c>
      <c r="F18" s="83" t="s">
        <v>102</v>
      </c>
      <c r="G18" s="84" t="s">
        <v>103</v>
      </c>
      <c r="H18" s="85" t="n">
        <f aca="false">IFERROR(--REPLACE(SUBSTITUTE(G18,"T"," "),LEN(G18)-6,6,""),"")</f>
        <v>45444</v>
      </c>
      <c r="I18" s="84" t="s">
        <v>104</v>
      </c>
      <c r="J18" s="85" t="n">
        <f aca="false">IFERROR(--REPLACE(SUBSTITUTE(I18,"T"," "),LEN(I18)-6,6,""),"")</f>
        <v>45809</v>
      </c>
      <c r="K18" s="83"/>
      <c r="L18" s="83" t="s">
        <v>105</v>
      </c>
      <c r="M18" s="83" t="s">
        <v>106</v>
      </c>
      <c r="N18" s="83" t="s">
        <v>252</v>
      </c>
      <c r="O18" s="83" t="s">
        <v>108</v>
      </c>
      <c r="P18" s="83" t="s">
        <v>173</v>
      </c>
      <c r="Q18" s="84" t="s">
        <v>253</v>
      </c>
      <c r="R18" s="85" t="n">
        <f aca="false">IFERROR(--REPLACE(SUBSTITUTE(Q18,"T"," "),LEN(Q18)-6,6,""),"")</f>
        <v>45554</v>
      </c>
      <c r="S18" s="83" t="s">
        <v>111</v>
      </c>
      <c r="T18" s="86" t="n">
        <v>0</v>
      </c>
      <c r="U18" s="86" t="n">
        <v>150</v>
      </c>
      <c r="V18" s="86" t="n">
        <v>150</v>
      </c>
      <c r="W18" s="86" t="n">
        <v>0</v>
      </c>
      <c r="X18" s="86" t="n">
        <v>0</v>
      </c>
      <c r="Y18" s="86" t="n">
        <v>0</v>
      </c>
      <c r="Z18" s="86" t="n">
        <v>0</v>
      </c>
      <c r="AA18" s="86" t="n">
        <v>0</v>
      </c>
      <c r="AB18" s="86"/>
      <c r="AC18" s="86" t="n">
        <v>0</v>
      </c>
      <c r="AD18" s="86" t="n">
        <v>0</v>
      </c>
      <c r="AE18" s="86" t="n">
        <v>0</v>
      </c>
      <c r="AF18" s="87"/>
      <c r="AG18" s="87" t="s">
        <v>175</v>
      </c>
      <c r="AH18" s="87" t="s">
        <v>176</v>
      </c>
      <c r="AI18" s="87" t="s">
        <v>177</v>
      </c>
      <c r="AJ18" s="87"/>
      <c r="AK18" s="87"/>
      <c r="AL18" s="87"/>
      <c r="AM18" s="87"/>
      <c r="AN18" s="84" t="s">
        <v>178</v>
      </c>
      <c r="AO18" s="85" t="n">
        <f aca="false">IFERROR(--REPLACE(SUBSTITUTE(AN18,"T"," "),LEN(AN18)-6,6,""),"")</f>
        <v>46111</v>
      </c>
      <c r="AP18" s="83" t="s">
        <v>116</v>
      </c>
      <c r="AQ18" s="84" t="s">
        <v>179</v>
      </c>
      <c r="AR18" s="85" t="n">
        <f aca="false">IFERROR(--REPLACE(SUBSTITUTE(AQ18,"T"," "),LEN(AQ18)-6,6,""),"")</f>
        <v>46113</v>
      </c>
      <c r="AS18" s="83" t="s">
        <v>98</v>
      </c>
      <c r="AT18" s="83"/>
      <c r="AU18" s="83" t="s">
        <v>234</v>
      </c>
      <c r="AV18" s="83"/>
      <c r="AW18" s="88" t="s">
        <v>125</v>
      </c>
      <c r="AX18" s="88" t="s">
        <v>211</v>
      </c>
      <c r="AY18" s="83" t="s">
        <v>181</v>
      </c>
      <c r="AZ18" s="83" t="s">
        <v>190</v>
      </c>
      <c r="BA18" s="83" t="s">
        <v>250</v>
      </c>
      <c r="BB18" s="83"/>
      <c r="BC18" s="83"/>
      <c r="BD18" s="83" t="s">
        <v>184</v>
      </c>
      <c r="BE18" s="83" t="s">
        <v>185</v>
      </c>
      <c r="BF18" s="83" t="s">
        <v>123</v>
      </c>
      <c r="BG18" s="88" t="s">
        <v>124</v>
      </c>
      <c r="BH18" s="88" t="s">
        <v>125</v>
      </c>
      <c r="BI18" s="88" t="s">
        <v>125</v>
      </c>
      <c r="BJ18" s="88" t="s">
        <v>126</v>
      </c>
      <c r="BK18" s="83" t="s">
        <v>186</v>
      </c>
      <c r="BL18" s="89" t="n">
        <v>2024</v>
      </c>
      <c r="BM18" s="90" t="n">
        <v>0</v>
      </c>
      <c r="BN18" s="83" t="s">
        <v>254</v>
      </c>
      <c r="BO18" s="91" t="n">
        <f aca="false">IF(SUMPRODUCT(($A$2:$A19=A19)*($N$2:$N19=N19))&gt;1,0,1)</f>
        <v>1</v>
      </c>
    </row>
    <row r="19" customFormat="false" ht="15" hidden="false" customHeight="false" outlineLevel="0" collapsed="false">
      <c r="A19" s="83" t="s">
        <v>97</v>
      </c>
      <c r="B19" s="83" t="s">
        <v>98</v>
      </c>
      <c r="C19" s="83"/>
      <c r="D19" s="83" t="s">
        <v>170</v>
      </c>
      <c r="E19" s="83" t="s">
        <v>171</v>
      </c>
      <c r="F19" s="83" t="s">
        <v>102</v>
      </c>
      <c r="G19" s="84" t="s">
        <v>103</v>
      </c>
      <c r="H19" s="85" t="n">
        <f aca="false">IFERROR(--REPLACE(SUBSTITUTE(G19,"T"," "),LEN(G19)-6,6,""),"")</f>
        <v>45444</v>
      </c>
      <c r="I19" s="84" t="s">
        <v>104</v>
      </c>
      <c r="J19" s="85" t="n">
        <f aca="false">IFERROR(--REPLACE(SUBSTITUTE(I19,"T"," "),LEN(I19)-6,6,""),"")</f>
        <v>45809</v>
      </c>
      <c r="K19" s="83"/>
      <c r="L19" s="83" t="s">
        <v>105</v>
      </c>
      <c r="M19" s="83" t="s">
        <v>106</v>
      </c>
      <c r="N19" s="83" t="s">
        <v>255</v>
      </c>
      <c r="O19" s="83" t="s">
        <v>108</v>
      </c>
      <c r="P19" s="83" t="s">
        <v>173</v>
      </c>
      <c r="Q19" s="84" t="s">
        <v>256</v>
      </c>
      <c r="R19" s="85" t="n">
        <f aca="false">IFERROR(--REPLACE(SUBSTITUTE(Q19,"T"," "),LEN(Q19)-6,6,""),"")</f>
        <v>45635</v>
      </c>
      <c r="S19" s="83" t="s">
        <v>111</v>
      </c>
      <c r="T19" s="86" t="n">
        <v>0</v>
      </c>
      <c r="U19" s="86" t="n">
        <v>150</v>
      </c>
      <c r="V19" s="86" t="n">
        <v>150</v>
      </c>
      <c r="W19" s="86" t="n">
        <v>0</v>
      </c>
      <c r="X19" s="86" t="n">
        <v>0</v>
      </c>
      <c r="Y19" s="86" t="n">
        <v>0</v>
      </c>
      <c r="Z19" s="86" t="n">
        <v>0</v>
      </c>
      <c r="AA19" s="86" t="n">
        <v>0</v>
      </c>
      <c r="AB19" s="86"/>
      <c r="AC19" s="86" t="n">
        <v>0</v>
      </c>
      <c r="AD19" s="86" t="n">
        <v>0</v>
      </c>
      <c r="AE19" s="86" t="n">
        <v>0</v>
      </c>
      <c r="AF19" s="87"/>
      <c r="AG19" s="87" t="s">
        <v>175</v>
      </c>
      <c r="AH19" s="87" t="s">
        <v>176</v>
      </c>
      <c r="AI19" s="87" t="s">
        <v>177</v>
      </c>
      <c r="AJ19" s="87"/>
      <c r="AK19" s="87"/>
      <c r="AL19" s="87"/>
      <c r="AM19" s="87"/>
      <c r="AN19" s="84" t="s">
        <v>160</v>
      </c>
      <c r="AO19" s="85" t="n">
        <f aca="false">IFERROR(--REPLACE(SUBSTITUTE(AN19,"T"," "),LEN(AN19)-6,6,""),"")</f>
        <v>46112</v>
      </c>
      <c r="AP19" s="83" t="s">
        <v>116</v>
      </c>
      <c r="AQ19" s="84" t="s">
        <v>179</v>
      </c>
      <c r="AR19" s="85" t="n">
        <f aca="false">IFERROR(--REPLACE(SUBSTITUTE(AQ19,"T"," "),LEN(AQ19)-6,6,""),"")</f>
        <v>46113</v>
      </c>
      <c r="AS19" s="83" t="s">
        <v>98</v>
      </c>
      <c r="AT19" s="83"/>
      <c r="AU19" s="83" t="s">
        <v>139</v>
      </c>
      <c r="AV19" s="83"/>
      <c r="AW19" s="88" t="s">
        <v>125</v>
      </c>
      <c r="AX19" s="88" t="s">
        <v>228</v>
      </c>
      <c r="AY19" s="83" t="s">
        <v>235</v>
      </c>
      <c r="AZ19" s="83" t="s">
        <v>236</v>
      </c>
      <c r="BA19" s="83" t="s">
        <v>237</v>
      </c>
      <c r="BB19" s="83"/>
      <c r="BC19" s="83"/>
      <c r="BD19" s="83" t="s">
        <v>184</v>
      </c>
      <c r="BE19" s="83" t="s">
        <v>185</v>
      </c>
      <c r="BF19" s="83" t="s">
        <v>123</v>
      </c>
      <c r="BG19" s="88" t="s">
        <v>124</v>
      </c>
      <c r="BH19" s="88" t="s">
        <v>125</v>
      </c>
      <c r="BI19" s="88" t="s">
        <v>125</v>
      </c>
      <c r="BJ19" s="88" t="s">
        <v>126</v>
      </c>
      <c r="BK19" s="83" t="s">
        <v>186</v>
      </c>
      <c r="BL19" s="89" t="n">
        <v>2024</v>
      </c>
      <c r="BM19" s="90" t="n">
        <v>0</v>
      </c>
      <c r="BN19" s="83" t="s">
        <v>257</v>
      </c>
      <c r="BO19" s="91" t="n">
        <f aca="false">IF(SUMPRODUCT(($A$2:$A20=A20)*($N$2:$N20=N20))&gt;1,0,1)</f>
        <v>1</v>
      </c>
    </row>
    <row r="20" customFormat="false" ht="15" hidden="false" customHeight="false" outlineLevel="0" collapsed="false">
      <c r="A20" s="83" t="s">
        <v>97</v>
      </c>
      <c r="B20" s="83" t="s">
        <v>98</v>
      </c>
      <c r="C20" s="83"/>
      <c r="D20" s="83" t="s">
        <v>170</v>
      </c>
      <c r="E20" s="83" t="s">
        <v>171</v>
      </c>
      <c r="F20" s="83" t="s">
        <v>102</v>
      </c>
      <c r="G20" s="84" t="s">
        <v>103</v>
      </c>
      <c r="H20" s="85" t="n">
        <f aca="false">IFERROR(--REPLACE(SUBSTITUTE(G20,"T"," "),LEN(G20)-6,6,""),"")</f>
        <v>45444</v>
      </c>
      <c r="I20" s="84" t="s">
        <v>104</v>
      </c>
      <c r="J20" s="85" t="n">
        <f aca="false">IFERROR(--REPLACE(SUBSTITUTE(I20,"T"," "),LEN(I20)-6,6,""),"")</f>
        <v>45809</v>
      </c>
      <c r="K20" s="83"/>
      <c r="L20" s="83" t="s">
        <v>105</v>
      </c>
      <c r="M20" s="83" t="s">
        <v>106</v>
      </c>
      <c r="N20" s="83" t="s">
        <v>258</v>
      </c>
      <c r="O20" s="83" t="s">
        <v>108</v>
      </c>
      <c r="P20" s="83" t="s">
        <v>173</v>
      </c>
      <c r="Q20" s="84" t="s">
        <v>259</v>
      </c>
      <c r="R20" s="85" t="n">
        <f aca="false">IFERROR(--REPLACE(SUBSTITUTE(Q20,"T"," "),LEN(Q20)-6,6,""),"")</f>
        <v>45638</v>
      </c>
      <c r="S20" s="83" t="s">
        <v>111</v>
      </c>
      <c r="T20" s="86" t="n">
        <v>0</v>
      </c>
      <c r="U20" s="86" t="n">
        <v>150</v>
      </c>
      <c r="V20" s="86" t="n">
        <v>150</v>
      </c>
      <c r="W20" s="86" t="n">
        <v>0</v>
      </c>
      <c r="X20" s="86" t="n">
        <v>0</v>
      </c>
      <c r="Y20" s="86" t="n">
        <v>0</v>
      </c>
      <c r="Z20" s="86" t="n">
        <v>0</v>
      </c>
      <c r="AA20" s="86" t="n">
        <v>0</v>
      </c>
      <c r="AB20" s="86"/>
      <c r="AC20" s="86" t="n">
        <v>0</v>
      </c>
      <c r="AD20" s="86" t="n">
        <v>0</v>
      </c>
      <c r="AE20" s="86" t="n">
        <v>0</v>
      </c>
      <c r="AF20" s="87"/>
      <c r="AG20" s="87" t="s">
        <v>175</v>
      </c>
      <c r="AH20" s="87" t="s">
        <v>176</v>
      </c>
      <c r="AI20" s="87" t="s">
        <v>177</v>
      </c>
      <c r="AJ20" s="87"/>
      <c r="AK20" s="87"/>
      <c r="AL20" s="87"/>
      <c r="AM20" s="87"/>
      <c r="AN20" s="84" t="s">
        <v>160</v>
      </c>
      <c r="AO20" s="85" t="n">
        <f aca="false">IFERROR(--REPLACE(SUBSTITUTE(AN20,"T"," "),LEN(AN20)-6,6,""),"")</f>
        <v>46112</v>
      </c>
      <c r="AP20" s="83" t="s">
        <v>116</v>
      </c>
      <c r="AQ20" s="84" t="s">
        <v>179</v>
      </c>
      <c r="AR20" s="85" t="n">
        <f aca="false">IFERROR(--REPLACE(SUBSTITUTE(AQ20,"T"," "),LEN(AQ20)-6,6,""),"")</f>
        <v>46113</v>
      </c>
      <c r="AS20" s="83" t="s">
        <v>98</v>
      </c>
      <c r="AT20" s="83"/>
      <c r="AU20" s="83" t="s">
        <v>234</v>
      </c>
      <c r="AV20" s="83"/>
      <c r="AW20" s="88" t="s">
        <v>125</v>
      </c>
      <c r="AX20" s="88" t="s">
        <v>228</v>
      </c>
      <c r="AY20" s="83" t="s">
        <v>236</v>
      </c>
      <c r="AZ20" s="83" t="s">
        <v>260</v>
      </c>
      <c r="BA20" s="83" t="s">
        <v>237</v>
      </c>
      <c r="BB20" s="83"/>
      <c r="BC20" s="83"/>
      <c r="BD20" s="83" t="s">
        <v>184</v>
      </c>
      <c r="BE20" s="83" t="s">
        <v>185</v>
      </c>
      <c r="BF20" s="83" t="s">
        <v>123</v>
      </c>
      <c r="BG20" s="88" t="s">
        <v>124</v>
      </c>
      <c r="BH20" s="88" t="s">
        <v>125</v>
      </c>
      <c r="BI20" s="88" t="s">
        <v>125</v>
      </c>
      <c r="BJ20" s="88" t="s">
        <v>126</v>
      </c>
      <c r="BK20" s="83" t="s">
        <v>186</v>
      </c>
      <c r="BL20" s="89" t="n">
        <v>2024</v>
      </c>
      <c r="BM20" s="90" t="n">
        <v>0</v>
      </c>
      <c r="BN20" s="83" t="s">
        <v>261</v>
      </c>
      <c r="BO20" s="91" t="n">
        <f aca="false">IF(SUMPRODUCT(($A$2:$A21=A21)*($N$2:$N21=N21))&gt;1,0,1)</f>
        <v>1</v>
      </c>
    </row>
    <row r="21" customFormat="false" ht="15" hidden="false" customHeight="false" outlineLevel="0" collapsed="false">
      <c r="A21" s="83" t="s">
        <v>97</v>
      </c>
      <c r="B21" s="83" t="s">
        <v>98</v>
      </c>
      <c r="C21" s="83"/>
      <c r="D21" s="83" t="s">
        <v>170</v>
      </c>
      <c r="E21" s="83" t="s">
        <v>171</v>
      </c>
      <c r="F21" s="83" t="s">
        <v>102</v>
      </c>
      <c r="G21" s="84" t="s">
        <v>103</v>
      </c>
      <c r="H21" s="85" t="n">
        <f aca="false">IFERROR(--REPLACE(SUBSTITUTE(G21,"T"," "),LEN(G21)-6,6,""),"")</f>
        <v>45444</v>
      </c>
      <c r="I21" s="84" t="s">
        <v>104</v>
      </c>
      <c r="J21" s="85" t="n">
        <f aca="false">IFERROR(--REPLACE(SUBSTITUTE(I21,"T"," "),LEN(I21)-6,6,""),"")</f>
        <v>45809</v>
      </c>
      <c r="K21" s="83"/>
      <c r="L21" s="83" t="s">
        <v>105</v>
      </c>
      <c r="M21" s="83" t="s">
        <v>106</v>
      </c>
      <c r="N21" s="83" t="s">
        <v>262</v>
      </c>
      <c r="O21" s="83" t="s">
        <v>108</v>
      </c>
      <c r="P21" s="83" t="s">
        <v>173</v>
      </c>
      <c r="Q21" s="84" t="s">
        <v>263</v>
      </c>
      <c r="R21" s="85" t="n">
        <f aca="false">IFERROR(--REPLACE(SUBSTITUTE(Q21,"T"," "),LEN(Q21)-6,6,""),"")</f>
        <v>45502</v>
      </c>
      <c r="S21" s="83" t="s">
        <v>111</v>
      </c>
      <c r="T21" s="86" t="n">
        <v>0</v>
      </c>
      <c r="U21" s="86" t="n">
        <v>150</v>
      </c>
      <c r="V21" s="86" t="n">
        <v>150</v>
      </c>
      <c r="W21" s="86" t="n">
        <v>0</v>
      </c>
      <c r="X21" s="86" t="n">
        <v>0</v>
      </c>
      <c r="Y21" s="86" t="n">
        <v>0</v>
      </c>
      <c r="Z21" s="86" t="n">
        <v>0</v>
      </c>
      <c r="AA21" s="86" t="n">
        <v>0</v>
      </c>
      <c r="AB21" s="86"/>
      <c r="AC21" s="86" t="n">
        <v>0</v>
      </c>
      <c r="AD21" s="86" t="n">
        <v>0</v>
      </c>
      <c r="AE21" s="86" t="n">
        <v>0</v>
      </c>
      <c r="AF21" s="87"/>
      <c r="AG21" s="87" t="s">
        <v>175</v>
      </c>
      <c r="AH21" s="87" t="s">
        <v>176</v>
      </c>
      <c r="AI21" s="87" t="s">
        <v>177</v>
      </c>
      <c r="AJ21" s="87"/>
      <c r="AK21" s="87"/>
      <c r="AL21" s="87"/>
      <c r="AM21" s="87"/>
      <c r="AN21" s="84" t="s">
        <v>160</v>
      </c>
      <c r="AO21" s="85" t="n">
        <f aca="false">IFERROR(--REPLACE(SUBSTITUTE(AN21,"T"," "),LEN(AN21)-6,6,""),"")</f>
        <v>46112</v>
      </c>
      <c r="AP21" s="83" t="s">
        <v>116</v>
      </c>
      <c r="AQ21" s="84" t="s">
        <v>179</v>
      </c>
      <c r="AR21" s="85" t="n">
        <f aca="false">IFERROR(--REPLACE(SUBSTITUTE(AQ21,"T"," "),LEN(AQ21)-6,6,""),"")</f>
        <v>46113</v>
      </c>
      <c r="AS21" s="83" t="s">
        <v>98</v>
      </c>
      <c r="AT21" s="83"/>
      <c r="AU21" s="83" t="s">
        <v>139</v>
      </c>
      <c r="AV21" s="83"/>
      <c r="AW21" s="88" t="s">
        <v>125</v>
      </c>
      <c r="AX21" s="88" t="s">
        <v>264</v>
      </c>
      <c r="AY21" s="83" t="s">
        <v>181</v>
      </c>
      <c r="AZ21" s="83" t="s">
        <v>265</v>
      </c>
      <c r="BA21" s="83" t="s">
        <v>266</v>
      </c>
      <c r="BB21" s="83"/>
      <c r="BC21" s="83"/>
      <c r="BD21" s="83" t="s">
        <v>184</v>
      </c>
      <c r="BE21" s="83" t="s">
        <v>185</v>
      </c>
      <c r="BF21" s="83" t="s">
        <v>123</v>
      </c>
      <c r="BG21" s="88" t="s">
        <v>124</v>
      </c>
      <c r="BH21" s="88" t="s">
        <v>125</v>
      </c>
      <c r="BI21" s="88" t="s">
        <v>125</v>
      </c>
      <c r="BJ21" s="88" t="s">
        <v>126</v>
      </c>
      <c r="BK21" s="83" t="s">
        <v>186</v>
      </c>
      <c r="BL21" s="89" t="n">
        <v>2024</v>
      </c>
      <c r="BM21" s="90" t="n">
        <v>0</v>
      </c>
      <c r="BN21" s="83" t="s">
        <v>267</v>
      </c>
      <c r="BO21" s="91" t="n">
        <f aca="false">IF(SUMPRODUCT(($A$2:$A22=A22)*($N$2:$N22=N22))&gt;1,0,1)</f>
        <v>1</v>
      </c>
    </row>
    <row r="22" customFormat="false" ht="15" hidden="false" customHeight="false" outlineLevel="0" collapsed="false">
      <c r="A22" s="83" t="s">
        <v>97</v>
      </c>
      <c r="B22" s="83" t="s">
        <v>98</v>
      </c>
      <c r="C22" s="83"/>
      <c r="D22" s="83" t="s">
        <v>170</v>
      </c>
      <c r="E22" s="83" t="s">
        <v>171</v>
      </c>
      <c r="F22" s="83" t="s">
        <v>102</v>
      </c>
      <c r="G22" s="84" t="s">
        <v>103</v>
      </c>
      <c r="H22" s="85" t="n">
        <f aca="false">IFERROR(--REPLACE(SUBSTITUTE(G22,"T"," "),LEN(G22)-6,6,""),"")</f>
        <v>45444</v>
      </c>
      <c r="I22" s="84" t="s">
        <v>104</v>
      </c>
      <c r="J22" s="85" t="n">
        <f aca="false">IFERROR(--REPLACE(SUBSTITUTE(I22,"T"," "),LEN(I22)-6,6,""),"")</f>
        <v>45809</v>
      </c>
      <c r="K22" s="83"/>
      <c r="L22" s="83" t="s">
        <v>105</v>
      </c>
      <c r="M22" s="83" t="s">
        <v>106</v>
      </c>
      <c r="N22" s="83" t="s">
        <v>268</v>
      </c>
      <c r="O22" s="83" t="s">
        <v>108</v>
      </c>
      <c r="P22" s="83" t="s">
        <v>173</v>
      </c>
      <c r="Q22" s="84" t="s">
        <v>256</v>
      </c>
      <c r="R22" s="85" t="n">
        <f aca="false">IFERROR(--REPLACE(SUBSTITUTE(Q22,"T"," "),LEN(Q22)-6,6,""),"")</f>
        <v>45635</v>
      </c>
      <c r="S22" s="83" t="s">
        <v>111</v>
      </c>
      <c r="T22" s="86" t="n">
        <v>0</v>
      </c>
      <c r="U22" s="86" t="n">
        <v>150</v>
      </c>
      <c r="V22" s="86" t="n">
        <v>150</v>
      </c>
      <c r="W22" s="86" t="n">
        <v>0</v>
      </c>
      <c r="X22" s="86" t="n">
        <v>0</v>
      </c>
      <c r="Y22" s="86" t="n">
        <v>0</v>
      </c>
      <c r="Z22" s="86" t="n">
        <v>0</v>
      </c>
      <c r="AA22" s="86" t="n">
        <v>0</v>
      </c>
      <c r="AB22" s="86"/>
      <c r="AC22" s="86" t="n">
        <v>0</v>
      </c>
      <c r="AD22" s="86" t="n">
        <v>0</v>
      </c>
      <c r="AE22" s="86" t="n">
        <v>0</v>
      </c>
      <c r="AF22" s="87"/>
      <c r="AG22" s="87" t="s">
        <v>175</v>
      </c>
      <c r="AH22" s="87" t="s">
        <v>176</v>
      </c>
      <c r="AI22" s="87" t="s">
        <v>177</v>
      </c>
      <c r="AJ22" s="87"/>
      <c r="AK22" s="87"/>
      <c r="AL22" s="87"/>
      <c r="AM22" s="87"/>
      <c r="AN22" s="84" t="s">
        <v>160</v>
      </c>
      <c r="AO22" s="85" t="n">
        <f aca="false">IFERROR(--REPLACE(SUBSTITUTE(AN22,"T"," "),LEN(AN22)-6,6,""),"")</f>
        <v>46112</v>
      </c>
      <c r="AP22" s="83" t="s">
        <v>116</v>
      </c>
      <c r="AQ22" s="84" t="s">
        <v>179</v>
      </c>
      <c r="AR22" s="85" t="n">
        <f aca="false">IFERROR(--REPLACE(SUBSTITUTE(AQ22,"T"," "),LEN(AQ22)-6,6,""),"")</f>
        <v>46113</v>
      </c>
      <c r="AS22" s="83" t="s">
        <v>98</v>
      </c>
      <c r="AT22" s="83"/>
      <c r="AU22" s="83" t="s">
        <v>139</v>
      </c>
      <c r="AV22" s="83"/>
      <c r="AW22" s="88" t="s">
        <v>125</v>
      </c>
      <c r="AX22" s="88" t="s">
        <v>264</v>
      </c>
      <c r="AY22" s="83" t="s">
        <v>181</v>
      </c>
      <c r="AZ22" s="83" t="s">
        <v>269</v>
      </c>
      <c r="BA22" s="83" t="s">
        <v>266</v>
      </c>
      <c r="BB22" s="83"/>
      <c r="BC22" s="83"/>
      <c r="BD22" s="83" t="s">
        <v>184</v>
      </c>
      <c r="BE22" s="83" t="s">
        <v>185</v>
      </c>
      <c r="BF22" s="83" t="s">
        <v>123</v>
      </c>
      <c r="BG22" s="88" t="s">
        <v>124</v>
      </c>
      <c r="BH22" s="88" t="s">
        <v>125</v>
      </c>
      <c r="BI22" s="88" t="s">
        <v>125</v>
      </c>
      <c r="BJ22" s="88" t="s">
        <v>126</v>
      </c>
      <c r="BK22" s="83" t="s">
        <v>186</v>
      </c>
      <c r="BL22" s="89" t="n">
        <v>2024</v>
      </c>
      <c r="BM22" s="90" t="n">
        <v>0</v>
      </c>
      <c r="BN22" s="83" t="s">
        <v>270</v>
      </c>
      <c r="BO22" s="91" t="n">
        <f aca="false">IF(SUMPRODUCT(($A$2:$A23=A23)*($N$2:$N23=N23))&gt;1,0,1)</f>
        <v>1</v>
      </c>
    </row>
    <row r="23" customFormat="false" ht="15" hidden="false" customHeight="false" outlineLevel="0" collapsed="false">
      <c r="A23" s="83" t="s">
        <v>97</v>
      </c>
      <c r="B23" s="83" t="s">
        <v>98</v>
      </c>
      <c r="C23" s="83"/>
      <c r="D23" s="83" t="s">
        <v>170</v>
      </c>
      <c r="E23" s="83" t="s">
        <v>171</v>
      </c>
      <c r="F23" s="83" t="s">
        <v>102</v>
      </c>
      <c r="G23" s="84" t="s">
        <v>103</v>
      </c>
      <c r="H23" s="85" t="n">
        <f aca="false">IFERROR(--REPLACE(SUBSTITUTE(G23,"T"," "),LEN(G23)-6,6,""),"")</f>
        <v>45444</v>
      </c>
      <c r="I23" s="84" t="s">
        <v>104</v>
      </c>
      <c r="J23" s="85" t="n">
        <f aca="false">IFERROR(--REPLACE(SUBSTITUTE(I23,"T"," "),LEN(I23)-6,6,""),"")</f>
        <v>45809</v>
      </c>
      <c r="K23" s="83"/>
      <c r="L23" s="83" t="s">
        <v>105</v>
      </c>
      <c r="M23" s="83" t="s">
        <v>106</v>
      </c>
      <c r="N23" s="83" t="s">
        <v>271</v>
      </c>
      <c r="O23" s="83" t="s">
        <v>108</v>
      </c>
      <c r="P23" s="83" t="s">
        <v>173</v>
      </c>
      <c r="Q23" s="84" t="s">
        <v>272</v>
      </c>
      <c r="R23" s="85" t="n">
        <f aca="false">IFERROR(--REPLACE(SUBSTITUTE(Q23,"T"," "),LEN(Q23)-6,6,""),"")</f>
        <v>45785</v>
      </c>
      <c r="S23" s="83" t="s">
        <v>111</v>
      </c>
      <c r="T23" s="86" t="n">
        <v>0</v>
      </c>
      <c r="U23" s="86" t="n">
        <v>150</v>
      </c>
      <c r="V23" s="86" t="n">
        <v>150</v>
      </c>
      <c r="W23" s="86" t="n">
        <v>0</v>
      </c>
      <c r="X23" s="86" t="n">
        <v>0</v>
      </c>
      <c r="Y23" s="86" t="n">
        <v>0</v>
      </c>
      <c r="Z23" s="86" t="n">
        <v>0</v>
      </c>
      <c r="AA23" s="86" t="n">
        <v>0</v>
      </c>
      <c r="AB23" s="86"/>
      <c r="AC23" s="86" t="n">
        <v>0</v>
      </c>
      <c r="AD23" s="86" t="n">
        <v>0</v>
      </c>
      <c r="AE23" s="86" t="n">
        <v>0</v>
      </c>
      <c r="AF23" s="87"/>
      <c r="AG23" s="87" t="s">
        <v>175</v>
      </c>
      <c r="AH23" s="87" t="s">
        <v>176</v>
      </c>
      <c r="AI23" s="87" t="s">
        <v>177</v>
      </c>
      <c r="AJ23" s="87"/>
      <c r="AK23" s="87"/>
      <c r="AL23" s="87"/>
      <c r="AM23" s="87"/>
      <c r="AN23" s="84" t="s">
        <v>160</v>
      </c>
      <c r="AO23" s="85" t="n">
        <f aca="false">IFERROR(--REPLACE(SUBSTITUTE(AN23,"T"," "),LEN(AN23)-6,6,""),"")</f>
        <v>46112</v>
      </c>
      <c r="AP23" s="83" t="s">
        <v>116</v>
      </c>
      <c r="AQ23" s="84" t="s">
        <v>179</v>
      </c>
      <c r="AR23" s="85" t="n">
        <f aca="false">IFERROR(--REPLACE(SUBSTITUTE(AQ23,"T"," "),LEN(AQ23)-6,6,""),"")</f>
        <v>46113</v>
      </c>
      <c r="AS23" s="83" t="s">
        <v>98</v>
      </c>
      <c r="AT23" s="83"/>
      <c r="AU23" s="83" t="s">
        <v>234</v>
      </c>
      <c r="AV23" s="83"/>
      <c r="AW23" s="88" t="s">
        <v>125</v>
      </c>
      <c r="AX23" s="88" t="s">
        <v>273</v>
      </c>
      <c r="AY23" s="83" t="s">
        <v>181</v>
      </c>
      <c r="AZ23" s="83" t="s">
        <v>190</v>
      </c>
      <c r="BA23" s="83" t="s">
        <v>274</v>
      </c>
      <c r="BB23" s="83"/>
      <c r="BC23" s="83"/>
      <c r="BD23" s="83" t="s">
        <v>184</v>
      </c>
      <c r="BE23" s="83" t="s">
        <v>185</v>
      </c>
      <c r="BF23" s="83" t="s">
        <v>123</v>
      </c>
      <c r="BG23" s="88" t="s">
        <v>124</v>
      </c>
      <c r="BH23" s="88" t="s">
        <v>125</v>
      </c>
      <c r="BI23" s="88" t="s">
        <v>125</v>
      </c>
      <c r="BJ23" s="88" t="s">
        <v>126</v>
      </c>
      <c r="BK23" s="83" t="s">
        <v>186</v>
      </c>
      <c r="BL23" s="89" t="n">
        <v>2024</v>
      </c>
      <c r="BM23" s="90" t="n">
        <v>0</v>
      </c>
      <c r="BN23" s="83" t="s">
        <v>275</v>
      </c>
      <c r="BO23" s="91" t="n">
        <f aca="false">IF(SUMPRODUCT(($A$2:$A24=A24)*($N$2:$N24=N24))&gt;1,0,1)</f>
        <v>1</v>
      </c>
    </row>
    <row r="24" customFormat="false" ht="15" hidden="false" customHeight="false" outlineLevel="0" collapsed="false">
      <c r="A24" s="83" t="s">
        <v>97</v>
      </c>
      <c r="B24" s="83" t="s">
        <v>98</v>
      </c>
      <c r="C24" s="83"/>
      <c r="D24" s="83" t="s">
        <v>170</v>
      </c>
      <c r="E24" s="83" t="s">
        <v>171</v>
      </c>
      <c r="F24" s="83" t="s">
        <v>102</v>
      </c>
      <c r="G24" s="84" t="s">
        <v>103</v>
      </c>
      <c r="H24" s="85" t="n">
        <f aca="false">IFERROR(--REPLACE(SUBSTITUTE(G24,"T"," "),LEN(G24)-6,6,""),"")</f>
        <v>45444</v>
      </c>
      <c r="I24" s="84" t="s">
        <v>104</v>
      </c>
      <c r="J24" s="85" t="n">
        <f aca="false">IFERROR(--REPLACE(SUBSTITUTE(I24,"T"," "),LEN(I24)-6,6,""),"")</f>
        <v>45809</v>
      </c>
      <c r="K24" s="83"/>
      <c r="L24" s="83" t="s">
        <v>105</v>
      </c>
      <c r="M24" s="83" t="s">
        <v>106</v>
      </c>
      <c r="N24" s="83" t="s">
        <v>276</v>
      </c>
      <c r="O24" s="83" t="s">
        <v>108</v>
      </c>
      <c r="P24" s="83" t="s">
        <v>173</v>
      </c>
      <c r="Q24" s="84" t="s">
        <v>277</v>
      </c>
      <c r="R24" s="85" t="n">
        <f aca="false">IFERROR(--REPLACE(SUBSTITUTE(Q24,"T"," "),LEN(Q24)-6,6,""),"")</f>
        <v>45719</v>
      </c>
      <c r="S24" s="83" t="s">
        <v>111</v>
      </c>
      <c r="T24" s="86" t="n">
        <v>0</v>
      </c>
      <c r="U24" s="86" t="n">
        <v>150</v>
      </c>
      <c r="V24" s="86" t="n">
        <v>150</v>
      </c>
      <c r="W24" s="86" t="n">
        <v>0</v>
      </c>
      <c r="X24" s="86" t="n">
        <v>0</v>
      </c>
      <c r="Y24" s="86" t="n">
        <v>0</v>
      </c>
      <c r="Z24" s="86" t="n">
        <v>0</v>
      </c>
      <c r="AA24" s="86" t="n">
        <v>0</v>
      </c>
      <c r="AB24" s="86"/>
      <c r="AC24" s="86" t="n">
        <v>0</v>
      </c>
      <c r="AD24" s="86" t="n">
        <v>0</v>
      </c>
      <c r="AE24" s="86" t="n">
        <v>0</v>
      </c>
      <c r="AF24" s="87"/>
      <c r="AG24" s="87" t="s">
        <v>175</v>
      </c>
      <c r="AH24" s="87" t="s">
        <v>176</v>
      </c>
      <c r="AI24" s="87" t="s">
        <v>177</v>
      </c>
      <c r="AJ24" s="87"/>
      <c r="AK24" s="87"/>
      <c r="AL24" s="87"/>
      <c r="AM24" s="87"/>
      <c r="AN24" s="84" t="s">
        <v>160</v>
      </c>
      <c r="AO24" s="85" t="n">
        <f aca="false">IFERROR(--REPLACE(SUBSTITUTE(AN24,"T"," "),LEN(AN24)-6,6,""),"")</f>
        <v>46112</v>
      </c>
      <c r="AP24" s="83" t="s">
        <v>116</v>
      </c>
      <c r="AQ24" s="84" t="s">
        <v>179</v>
      </c>
      <c r="AR24" s="85" t="n">
        <f aca="false">IFERROR(--REPLACE(SUBSTITUTE(AQ24,"T"," "),LEN(AQ24)-6,6,""),"")</f>
        <v>46113</v>
      </c>
      <c r="AS24" s="83" t="s">
        <v>98</v>
      </c>
      <c r="AT24" s="83"/>
      <c r="AU24" s="83" t="s">
        <v>139</v>
      </c>
      <c r="AV24" s="83"/>
      <c r="AW24" s="88" t="s">
        <v>125</v>
      </c>
      <c r="AX24" s="88" t="s">
        <v>273</v>
      </c>
      <c r="AY24" s="83" t="s">
        <v>181</v>
      </c>
      <c r="AZ24" s="83" t="s">
        <v>190</v>
      </c>
      <c r="BA24" s="83" t="s">
        <v>274</v>
      </c>
      <c r="BB24" s="83"/>
      <c r="BC24" s="83"/>
      <c r="BD24" s="83" t="s">
        <v>184</v>
      </c>
      <c r="BE24" s="83" t="s">
        <v>185</v>
      </c>
      <c r="BF24" s="83" t="s">
        <v>123</v>
      </c>
      <c r="BG24" s="88" t="s">
        <v>124</v>
      </c>
      <c r="BH24" s="88" t="s">
        <v>125</v>
      </c>
      <c r="BI24" s="88" t="s">
        <v>125</v>
      </c>
      <c r="BJ24" s="88" t="s">
        <v>126</v>
      </c>
      <c r="BK24" s="83" t="s">
        <v>186</v>
      </c>
      <c r="BL24" s="89" t="n">
        <v>2024</v>
      </c>
      <c r="BM24" s="90" t="n">
        <v>0</v>
      </c>
      <c r="BN24" s="83" t="s">
        <v>278</v>
      </c>
      <c r="BO24" s="91" t="n">
        <f aca="false">IF(SUMPRODUCT(($A$2:$A25=A25)*($N$2:$N25=N25))&gt;1,0,1)</f>
        <v>1</v>
      </c>
    </row>
    <row r="25" customFormat="false" ht="15" hidden="false" customHeight="false" outlineLevel="0" collapsed="false">
      <c r="A25" s="83" t="s">
        <v>97</v>
      </c>
      <c r="B25" s="83" t="s">
        <v>98</v>
      </c>
      <c r="C25" s="83"/>
      <c r="D25" s="83" t="s">
        <v>170</v>
      </c>
      <c r="E25" s="83" t="s">
        <v>171</v>
      </c>
      <c r="F25" s="83" t="s">
        <v>102</v>
      </c>
      <c r="G25" s="84" t="s">
        <v>103</v>
      </c>
      <c r="H25" s="85" t="n">
        <f aca="false">IFERROR(--REPLACE(SUBSTITUTE(G25,"T"," "),LEN(G25)-6,6,""),"")</f>
        <v>45444</v>
      </c>
      <c r="I25" s="84" t="s">
        <v>104</v>
      </c>
      <c r="J25" s="85" t="n">
        <f aca="false">IFERROR(--REPLACE(SUBSTITUTE(I25,"T"," "),LEN(I25)-6,6,""),"")</f>
        <v>45809</v>
      </c>
      <c r="K25" s="83"/>
      <c r="L25" s="83" t="s">
        <v>105</v>
      </c>
      <c r="M25" s="83" t="s">
        <v>106</v>
      </c>
      <c r="N25" s="83" t="s">
        <v>279</v>
      </c>
      <c r="O25" s="83" t="s">
        <v>108</v>
      </c>
      <c r="P25" s="83" t="s">
        <v>173</v>
      </c>
      <c r="Q25" s="84" t="s">
        <v>280</v>
      </c>
      <c r="R25" s="85" t="n">
        <f aca="false">IFERROR(--REPLACE(SUBSTITUTE(Q25,"T"," "),LEN(Q25)-6,6,""),"")</f>
        <v>45700</v>
      </c>
      <c r="S25" s="83" t="s">
        <v>111</v>
      </c>
      <c r="T25" s="86" t="n">
        <v>0</v>
      </c>
      <c r="U25" s="86" t="n">
        <v>150</v>
      </c>
      <c r="V25" s="86" t="n">
        <v>150</v>
      </c>
      <c r="W25" s="86" t="n">
        <v>0</v>
      </c>
      <c r="X25" s="86" t="n">
        <v>0</v>
      </c>
      <c r="Y25" s="86" t="n">
        <v>0</v>
      </c>
      <c r="Z25" s="86" t="n">
        <v>0</v>
      </c>
      <c r="AA25" s="86" t="n">
        <v>0</v>
      </c>
      <c r="AB25" s="86"/>
      <c r="AC25" s="86" t="n">
        <v>0</v>
      </c>
      <c r="AD25" s="86" t="n">
        <v>0</v>
      </c>
      <c r="AE25" s="86" t="n">
        <v>0</v>
      </c>
      <c r="AF25" s="87"/>
      <c r="AG25" s="87" t="s">
        <v>175</v>
      </c>
      <c r="AH25" s="87" t="s">
        <v>176</v>
      </c>
      <c r="AI25" s="87" t="s">
        <v>177</v>
      </c>
      <c r="AJ25" s="87"/>
      <c r="AK25" s="87"/>
      <c r="AL25" s="87"/>
      <c r="AM25" s="87"/>
      <c r="AN25" s="84" t="s">
        <v>160</v>
      </c>
      <c r="AO25" s="85" t="n">
        <f aca="false">IFERROR(--REPLACE(SUBSTITUTE(AN25,"T"," "),LEN(AN25)-6,6,""),"")</f>
        <v>46112</v>
      </c>
      <c r="AP25" s="83" t="s">
        <v>116</v>
      </c>
      <c r="AQ25" s="84" t="s">
        <v>179</v>
      </c>
      <c r="AR25" s="85" t="n">
        <f aca="false">IFERROR(--REPLACE(SUBSTITUTE(AQ25,"T"," "),LEN(AQ25)-6,6,""),"")</f>
        <v>46113</v>
      </c>
      <c r="AS25" s="83" t="s">
        <v>98</v>
      </c>
      <c r="AT25" s="83"/>
      <c r="AU25" s="83" t="s">
        <v>195</v>
      </c>
      <c r="AV25" s="83"/>
      <c r="AW25" s="88" t="s">
        <v>125</v>
      </c>
      <c r="AX25" s="88" t="s">
        <v>201</v>
      </c>
      <c r="AY25" s="83" t="s">
        <v>181</v>
      </c>
      <c r="AZ25" s="83" t="s">
        <v>265</v>
      </c>
      <c r="BA25" s="83" t="s">
        <v>281</v>
      </c>
      <c r="BB25" s="83"/>
      <c r="BC25" s="83"/>
      <c r="BD25" s="83" t="s">
        <v>184</v>
      </c>
      <c r="BE25" s="83" t="s">
        <v>185</v>
      </c>
      <c r="BF25" s="83" t="s">
        <v>123</v>
      </c>
      <c r="BG25" s="88" t="s">
        <v>124</v>
      </c>
      <c r="BH25" s="88" t="s">
        <v>125</v>
      </c>
      <c r="BI25" s="88" t="s">
        <v>125</v>
      </c>
      <c r="BJ25" s="88" t="s">
        <v>126</v>
      </c>
      <c r="BK25" s="83" t="s">
        <v>186</v>
      </c>
      <c r="BL25" s="89" t="n">
        <v>2024</v>
      </c>
      <c r="BM25" s="90" t="n">
        <v>0</v>
      </c>
      <c r="BN25" s="83" t="s">
        <v>282</v>
      </c>
      <c r="BO25" s="91" t="n">
        <f aca="false">IF(SUMPRODUCT(($A$2:$A26=A26)*($N$2:$N26=N26))&gt;1,0,1)</f>
        <v>1</v>
      </c>
    </row>
    <row r="26" customFormat="false" ht="15" hidden="false" customHeight="false" outlineLevel="0" collapsed="false">
      <c r="A26" s="83" t="s">
        <v>97</v>
      </c>
      <c r="B26" s="83" t="s">
        <v>98</v>
      </c>
      <c r="C26" s="83" t="s">
        <v>99</v>
      </c>
      <c r="D26" s="83" t="s">
        <v>100</v>
      </c>
      <c r="E26" s="83" t="s">
        <v>101</v>
      </c>
      <c r="F26" s="83" t="s">
        <v>102</v>
      </c>
      <c r="G26" s="84" t="s">
        <v>103</v>
      </c>
      <c r="H26" s="85" t="n">
        <f aca="false">IFERROR(--REPLACE(SUBSTITUTE(G26,"T"," "),LEN(G26)-6,6,""),"")</f>
        <v>45444</v>
      </c>
      <c r="I26" s="84" t="s">
        <v>104</v>
      </c>
      <c r="J26" s="85" t="n">
        <f aca="false">IFERROR(--REPLACE(SUBSTITUTE(I26,"T"," "),LEN(I26)-6,6,""),"")</f>
        <v>45809</v>
      </c>
      <c r="K26" s="83"/>
      <c r="L26" s="83" t="s">
        <v>105</v>
      </c>
      <c r="M26" s="83" t="s">
        <v>106</v>
      </c>
      <c r="N26" s="83" t="s">
        <v>283</v>
      </c>
      <c r="O26" s="83" t="s">
        <v>146</v>
      </c>
      <c r="P26" s="83" t="s">
        <v>147</v>
      </c>
      <c r="Q26" s="84" t="s">
        <v>284</v>
      </c>
      <c r="R26" s="85" t="n">
        <f aca="false">IFERROR(--REPLACE(SUBSTITUTE(Q26,"T"," "),LEN(Q26)-6,6,""),"")</f>
        <v>45506</v>
      </c>
      <c r="S26" s="83" t="s">
        <v>111</v>
      </c>
      <c r="T26" s="86" t="n">
        <v>0</v>
      </c>
      <c r="U26" s="86" t="n">
        <v>155.58</v>
      </c>
      <c r="V26" s="86" t="n">
        <v>155.58</v>
      </c>
      <c r="W26" s="86" t="n">
        <v>0</v>
      </c>
      <c r="X26" s="86" t="n">
        <v>0</v>
      </c>
      <c r="Y26" s="86" t="n">
        <v>0</v>
      </c>
      <c r="Z26" s="86" t="n">
        <v>0</v>
      </c>
      <c r="AA26" s="86" t="n">
        <v>0</v>
      </c>
      <c r="AB26" s="86"/>
      <c r="AC26" s="86" t="n">
        <v>0</v>
      </c>
      <c r="AD26" s="86" t="n">
        <v>0</v>
      </c>
      <c r="AE26" s="86" t="n">
        <v>0</v>
      </c>
      <c r="AF26" s="87"/>
      <c r="AG26" s="87" t="s">
        <v>285</v>
      </c>
      <c r="AH26" s="87" t="s">
        <v>286</v>
      </c>
      <c r="AI26" s="87" t="s">
        <v>287</v>
      </c>
      <c r="AJ26" s="87"/>
      <c r="AK26" s="87"/>
      <c r="AL26" s="87"/>
      <c r="AM26" s="87"/>
      <c r="AN26" s="84" t="s">
        <v>288</v>
      </c>
      <c r="AO26" s="85" t="n">
        <f aca="false">IFERROR(--REPLACE(SUBSTITUTE(AN26,"T"," "),LEN(AN26)-6,6,""),"")</f>
        <v>45509</v>
      </c>
      <c r="AP26" s="83" t="s">
        <v>116</v>
      </c>
      <c r="AQ26" s="84" t="s">
        <v>289</v>
      </c>
      <c r="AR26" s="85" t="n">
        <f aca="false">IFERROR(--REPLACE(SUBSTITUTE(AQ26,"T"," "),LEN(AQ26)-6,6,""),"")</f>
        <v>45574</v>
      </c>
      <c r="AS26" s="83" t="s">
        <v>290</v>
      </c>
      <c r="AT26" s="83" t="s">
        <v>291</v>
      </c>
      <c r="AU26" s="83" t="s">
        <v>120</v>
      </c>
      <c r="AV26" s="83"/>
      <c r="AW26" s="88"/>
      <c r="AX26" s="88"/>
      <c r="AY26" s="83"/>
      <c r="AZ26" s="83"/>
      <c r="BA26" s="83"/>
      <c r="BB26" s="83"/>
      <c r="BC26" s="83"/>
      <c r="BD26" s="83" t="s">
        <v>155</v>
      </c>
      <c r="BE26" s="83" t="s">
        <v>156</v>
      </c>
      <c r="BF26" s="83" t="s">
        <v>123</v>
      </c>
      <c r="BG26" s="88" t="s">
        <v>124</v>
      </c>
      <c r="BH26" s="88" t="s">
        <v>125</v>
      </c>
      <c r="BI26" s="88" t="s">
        <v>125</v>
      </c>
      <c r="BJ26" s="88" t="s">
        <v>126</v>
      </c>
      <c r="BK26" s="83" t="s">
        <v>127</v>
      </c>
      <c r="BL26" s="89" t="n">
        <v>2024</v>
      </c>
      <c r="BM26" s="90" t="n">
        <v>0</v>
      </c>
      <c r="BN26" s="83" t="s">
        <v>292</v>
      </c>
      <c r="BO26" s="91" t="n">
        <f aca="false">IF(SUMPRODUCT(($A$2:$A27=A27)*($N$2:$N27=N27))&gt;1,0,1)</f>
        <v>1</v>
      </c>
    </row>
    <row r="27" customFormat="false" ht="15" hidden="false" customHeight="false" outlineLevel="0" collapsed="false">
      <c r="A27" s="83" t="s">
        <v>97</v>
      </c>
      <c r="B27" s="83" t="s">
        <v>98</v>
      </c>
      <c r="C27" s="83" t="s">
        <v>99</v>
      </c>
      <c r="D27" s="83" t="s">
        <v>100</v>
      </c>
      <c r="E27" s="83" t="s">
        <v>101</v>
      </c>
      <c r="F27" s="83" t="s">
        <v>108</v>
      </c>
      <c r="G27" s="84" t="s">
        <v>104</v>
      </c>
      <c r="H27" s="85" t="n">
        <f aca="false">IFERROR(--REPLACE(SUBSTITUTE(G27,"T"," "),LEN(G27)-6,6,""),"")</f>
        <v>45809</v>
      </c>
      <c r="I27" s="84" t="s">
        <v>144</v>
      </c>
      <c r="J27" s="85" t="n">
        <f aca="false">IFERROR(--REPLACE(SUBSTITUTE(I27,"T"," "),LEN(I27)-6,6,""),"")</f>
        <v>46174</v>
      </c>
      <c r="K27" s="83"/>
      <c r="L27" s="83" t="s">
        <v>105</v>
      </c>
      <c r="M27" s="83" t="s">
        <v>106</v>
      </c>
      <c r="N27" s="83" t="s">
        <v>293</v>
      </c>
      <c r="O27" s="83" t="s">
        <v>146</v>
      </c>
      <c r="P27" s="83" t="s">
        <v>147</v>
      </c>
      <c r="Q27" s="84" t="s">
        <v>294</v>
      </c>
      <c r="R27" s="85" t="n">
        <f aca="false">IFERROR(--REPLACE(SUBSTITUTE(Q27,"T"," "),LEN(Q27)-6,6,""),"")</f>
        <v>45916</v>
      </c>
      <c r="S27" s="83" t="s">
        <v>111</v>
      </c>
      <c r="T27" s="86" t="n">
        <v>0</v>
      </c>
      <c r="U27" s="86" t="n">
        <v>168.4</v>
      </c>
      <c r="V27" s="86" t="n">
        <v>168.4</v>
      </c>
      <c r="W27" s="86" t="n">
        <v>7.75</v>
      </c>
      <c r="X27" s="86" t="n">
        <v>0</v>
      </c>
      <c r="Y27" s="86" t="n">
        <v>0</v>
      </c>
      <c r="Z27" s="86" t="n">
        <v>0</v>
      </c>
      <c r="AA27" s="86" t="n">
        <v>0</v>
      </c>
      <c r="AB27" s="86"/>
      <c r="AC27" s="86" t="n">
        <v>7.75</v>
      </c>
      <c r="AD27" s="86" t="n">
        <v>7.75</v>
      </c>
      <c r="AE27" s="86" t="n">
        <v>0</v>
      </c>
      <c r="AF27" s="87"/>
      <c r="AG27" s="87" t="s">
        <v>295</v>
      </c>
      <c r="AH27" s="87" t="s">
        <v>296</v>
      </c>
      <c r="AI27" s="87" t="s">
        <v>297</v>
      </c>
      <c r="AJ27" s="87"/>
      <c r="AK27" s="87"/>
      <c r="AL27" s="87"/>
      <c r="AM27" s="87"/>
      <c r="AN27" s="84" t="s">
        <v>298</v>
      </c>
      <c r="AO27" s="85" t="n">
        <f aca="false">IFERROR(--REPLACE(SUBSTITUTE(AN27,"T"," "),LEN(AN27)-6,6,""),"")</f>
        <v>45918</v>
      </c>
      <c r="AP27" s="83" t="s">
        <v>116</v>
      </c>
      <c r="AQ27" s="84" t="s">
        <v>299</v>
      </c>
      <c r="AR27" s="85" t="n">
        <f aca="false">IFERROR(--REPLACE(SUBSTITUTE(AQ27,"T"," "),LEN(AQ27)-6,6,""),"")</f>
        <v>46008</v>
      </c>
      <c r="AS27" s="83" t="s">
        <v>300</v>
      </c>
      <c r="AT27" s="83" t="s">
        <v>301</v>
      </c>
      <c r="AU27" s="83" t="s">
        <v>166</v>
      </c>
      <c r="AV27" s="83"/>
      <c r="AW27" s="88"/>
      <c r="AX27" s="88"/>
      <c r="AY27" s="83"/>
      <c r="AZ27" s="83"/>
      <c r="BA27" s="83"/>
      <c r="BB27" s="83"/>
      <c r="BC27" s="83"/>
      <c r="BD27" s="83" t="s">
        <v>302</v>
      </c>
      <c r="BE27" s="83" t="s">
        <v>303</v>
      </c>
      <c r="BF27" s="83" t="s">
        <v>123</v>
      </c>
      <c r="BG27" s="88" t="s">
        <v>124</v>
      </c>
      <c r="BH27" s="88" t="s">
        <v>125</v>
      </c>
      <c r="BI27" s="88" t="s">
        <v>125</v>
      </c>
      <c r="BJ27" s="88" t="s">
        <v>126</v>
      </c>
      <c r="BK27" s="83" t="s">
        <v>157</v>
      </c>
      <c r="BL27" s="89" t="n">
        <v>2025</v>
      </c>
      <c r="BM27" s="90" t="n">
        <v>0</v>
      </c>
      <c r="BN27" s="83" t="s">
        <v>304</v>
      </c>
      <c r="BO27" s="91" t="n">
        <f aca="false">IF(SUMPRODUCT(($A$2:$A28=A28)*($N$2:$N28=N28))&gt;1,0,1)</f>
        <v>1</v>
      </c>
    </row>
    <row r="28" customFormat="false" ht="15" hidden="false" customHeight="false" outlineLevel="0" collapsed="false">
      <c r="A28" s="83" t="s">
        <v>97</v>
      </c>
      <c r="B28" s="83" t="s">
        <v>98</v>
      </c>
      <c r="C28" s="83" t="s">
        <v>99</v>
      </c>
      <c r="D28" s="83" t="s">
        <v>100</v>
      </c>
      <c r="E28" s="83" t="s">
        <v>101</v>
      </c>
      <c r="F28" s="83" t="s">
        <v>108</v>
      </c>
      <c r="G28" s="84" t="s">
        <v>104</v>
      </c>
      <c r="H28" s="85" t="n">
        <f aca="false">IFERROR(--REPLACE(SUBSTITUTE(G28,"T"," "),LEN(G28)-6,6,""),"")</f>
        <v>45809</v>
      </c>
      <c r="I28" s="84" t="s">
        <v>144</v>
      </c>
      <c r="J28" s="85" t="n">
        <f aca="false">IFERROR(--REPLACE(SUBSTITUTE(I28,"T"," "),LEN(I28)-6,6,""),"")</f>
        <v>46174</v>
      </c>
      <c r="K28" s="83"/>
      <c r="L28" s="83" t="s">
        <v>105</v>
      </c>
      <c r="M28" s="83" t="s">
        <v>106</v>
      </c>
      <c r="N28" s="83" t="s">
        <v>305</v>
      </c>
      <c r="O28" s="83" t="s">
        <v>146</v>
      </c>
      <c r="P28" s="83" t="s">
        <v>147</v>
      </c>
      <c r="Q28" s="84" t="s">
        <v>306</v>
      </c>
      <c r="R28" s="85" t="n">
        <f aca="false">IFERROR(--REPLACE(SUBSTITUTE(Q28,"T"," "),LEN(Q28)-6,6,""),"")</f>
        <v>45882</v>
      </c>
      <c r="S28" s="83" t="s">
        <v>111</v>
      </c>
      <c r="T28" s="86" t="n">
        <v>0</v>
      </c>
      <c r="U28" s="86" t="n">
        <v>233.98</v>
      </c>
      <c r="V28" s="86" t="n">
        <v>233.98</v>
      </c>
      <c r="W28" s="86" t="n">
        <v>7.75</v>
      </c>
      <c r="X28" s="86" t="n">
        <v>0</v>
      </c>
      <c r="Y28" s="86" t="n">
        <v>0</v>
      </c>
      <c r="Z28" s="86" t="n">
        <v>0</v>
      </c>
      <c r="AA28" s="86" t="n">
        <v>0</v>
      </c>
      <c r="AB28" s="86"/>
      <c r="AC28" s="86" t="n">
        <v>7.75</v>
      </c>
      <c r="AD28" s="86" t="n">
        <v>7.75</v>
      </c>
      <c r="AE28" s="86" t="n">
        <v>0</v>
      </c>
      <c r="AF28" s="87"/>
      <c r="AG28" s="87" t="s">
        <v>307</v>
      </c>
      <c r="AH28" s="87" t="s">
        <v>308</v>
      </c>
      <c r="AI28" s="87" t="s">
        <v>309</v>
      </c>
      <c r="AJ28" s="87"/>
      <c r="AK28" s="87"/>
      <c r="AL28" s="87"/>
      <c r="AM28" s="87"/>
      <c r="AN28" s="84" t="s">
        <v>310</v>
      </c>
      <c r="AO28" s="85" t="n">
        <f aca="false">IFERROR(--REPLACE(SUBSTITUTE(AN28,"T"," "),LEN(AN28)-6,6,""),"")</f>
        <v>45883</v>
      </c>
      <c r="AP28" s="83" t="s">
        <v>116</v>
      </c>
      <c r="AQ28" s="84" t="s">
        <v>311</v>
      </c>
      <c r="AR28" s="85" t="n">
        <f aca="false">IFERROR(--REPLACE(SUBSTITUTE(AQ28,"T"," "),LEN(AQ28)-6,6,""),"")</f>
        <v>45945</v>
      </c>
      <c r="AS28" s="83" t="s">
        <v>312</v>
      </c>
      <c r="AT28" s="83" t="s">
        <v>291</v>
      </c>
      <c r="AU28" s="83" t="s">
        <v>195</v>
      </c>
      <c r="AV28" s="83"/>
      <c r="AW28" s="88"/>
      <c r="AX28" s="88"/>
      <c r="AY28" s="83"/>
      <c r="AZ28" s="83"/>
      <c r="BA28" s="83"/>
      <c r="BB28" s="83"/>
      <c r="BC28" s="83"/>
      <c r="BD28" s="83" t="s">
        <v>223</v>
      </c>
      <c r="BE28" s="83" t="s">
        <v>224</v>
      </c>
      <c r="BF28" s="83" t="s">
        <v>123</v>
      </c>
      <c r="BG28" s="88" t="s">
        <v>124</v>
      </c>
      <c r="BH28" s="88" t="s">
        <v>125</v>
      </c>
      <c r="BI28" s="88" t="s">
        <v>125</v>
      </c>
      <c r="BJ28" s="88" t="s">
        <v>126</v>
      </c>
      <c r="BK28" s="83" t="s">
        <v>157</v>
      </c>
      <c r="BL28" s="89" t="n">
        <v>2025</v>
      </c>
      <c r="BM28" s="90" t="n">
        <v>0</v>
      </c>
      <c r="BN28" s="83" t="s">
        <v>313</v>
      </c>
      <c r="BO28" s="91" t="n">
        <f aca="false">IF(SUMPRODUCT(($A$2:$A29=A29)*($N$2:$N29=N29))&gt;1,0,1)</f>
        <v>1</v>
      </c>
    </row>
    <row r="29" customFormat="false" ht="15" hidden="false" customHeight="false" outlineLevel="0" collapsed="false">
      <c r="A29" s="83" t="s">
        <v>97</v>
      </c>
      <c r="B29" s="83" t="s">
        <v>98</v>
      </c>
      <c r="C29" s="83" t="s">
        <v>99</v>
      </c>
      <c r="D29" s="83" t="s">
        <v>100</v>
      </c>
      <c r="E29" s="83" t="s">
        <v>101</v>
      </c>
      <c r="F29" s="83" t="s">
        <v>102</v>
      </c>
      <c r="G29" s="84" t="s">
        <v>103</v>
      </c>
      <c r="H29" s="85" t="n">
        <f aca="false">IFERROR(--REPLACE(SUBSTITUTE(G29,"T"," "),LEN(G29)-6,6,""),"")</f>
        <v>45444</v>
      </c>
      <c r="I29" s="84" t="s">
        <v>104</v>
      </c>
      <c r="J29" s="85" t="n">
        <f aca="false">IFERROR(--REPLACE(SUBSTITUTE(I29,"T"," "),LEN(I29)-6,6,""),"")</f>
        <v>45809</v>
      </c>
      <c r="K29" s="83"/>
      <c r="L29" s="83" t="s">
        <v>105</v>
      </c>
      <c r="M29" s="83" t="s">
        <v>106</v>
      </c>
      <c r="N29" s="83" t="s">
        <v>314</v>
      </c>
      <c r="O29" s="83" t="s">
        <v>146</v>
      </c>
      <c r="P29" s="83" t="s">
        <v>147</v>
      </c>
      <c r="Q29" s="84" t="s">
        <v>315</v>
      </c>
      <c r="R29" s="85" t="n">
        <f aca="false">IFERROR(--REPLACE(SUBSTITUTE(Q29,"T"," "),LEN(Q29)-6,6,""),"")</f>
        <v>45451</v>
      </c>
      <c r="S29" s="83" t="s">
        <v>111</v>
      </c>
      <c r="T29" s="86" t="n">
        <v>0</v>
      </c>
      <c r="U29" s="86" t="n">
        <v>242.95</v>
      </c>
      <c r="V29" s="86" t="n">
        <v>242.95</v>
      </c>
      <c r="W29" s="86" t="n">
        <v>0</v>
      </c>
      <c r="X29" s="86" t="n">
        <v>0</v>
      </c>
      <c r="Y29" s="86" t="n">
        <v>0</v>
      </c>
      <c r="Z29" s="86" t="n">
        <v>0</v>
      </c>
      <c r="AA29" s="86" t="n">
        <v>0</v>
      </c>
      <c r="AB29" s="86"/>
      <c r="AC29" s="86" t="n">
        <v>0</v>
      </c>
      <c r="AD29" s="86" t="n">
        <v>0</v>
      </c>
      <c r="AE29" s="86" t="n">
        <v>0</v>
      </c>
      <c r="AF29" s="87"/>
      <c r="AG29" s="87" t="s">
        <v>161</v>
      </c>
      <c r="AH29" s="87" t="s">
        <v>286</v>
      </c>
      <c r="AI29" s="87" t="s">
        <v>316</v>
      </c>
      <c r="AJ29" s="87"/>
      <c r="AK29" s="87"/>
      <c r="AL29" s="87"/>
      <c r="AM29" s="87"/>
      <c r="AN29" s="84" t="s">
        <v>115</v>
      </c>
      <c r="AO29" s="85" t="n">
        <f aca="false">IFERROR(--REPLACE(SUBSTITUTE(AN29,"T"," "),LEN(AN29)-6,6,""),"")</f>
        <v>45453</v>
      </c>
      <c r="AP29" s="83" t="s">
        <v>116</v>
      </c>
      <c r="AQ29" s="84" t="s">
        <v>317</v>
      </c>
      <c r="AR29" s="85" t="n">
        <f aca="false">IFERROR(--REPLACE(SUBSTITUTE(AQ29,"T"," "),LEN(AQ29)-6,6,""),"")</f>
        <v>45504</v>
      </c>
      <c r="AS29" s="83" t="s">
        <v>318</v>
      </c>
      <c r="AT29" s="83" t="s">
        <v>319</v>
      </c>
      <c r="AU29" s="83" t="s">
        <v>320</v>
      </c>
      <c r="AV29" s="83"/>
      <c r="AW29" s="88"/>
      <c r="AX29" s="88"/>
      <c r="AY29" s="83"/>
      <c r="AZ29" s="83"/>
      <c r="BA29" s="83"/>
      <c r="BB29" s="83"/>
      <c r="BC29" s="83"/>
      <c r="BD29" s="83" t="s">
        <v>321</v>
      </c>
      <c r="BE29" s="83" t="s">
        <v>322</v>
      </c>
      <c r="BF29" s="83" t="s">
        <v>123</v>
      </c>
      <c r="BG29" s="88" t="s">
        <v>124</v>
      </c>
      <c r="BH29" s="88" t="s">
        <v>125</v>
      </c>
      <c r="BI29" s="88" t="s">
        <v>125</v>
      </c>
      <c r="BJ29" s="88" t="s">
        <v>126</v>
      </c>
      <c r="BK29" s="83" t="s">
        <v>127</v>
      </c>
      <c r="BL29" s="89" t="n">
        <v>2024</v>
      </c>
      <c r="BM29" s="90" t="n">
        <v>0</v>
      </c>
      <c r="BN29" s="83" t="s">
        <v>323</v>
      </c>
      <c r="BO29" s="91" t="n">
        <f aca="false">IF(SUMPRODUCT(($A$2:$A30=A30)*($N$2:$N30=N30))&gt;1,0,1)</f>
        <v>1</v>
      </c>
    </row>
    <row r="30" customFormat="false" ht="15" hidden="false" customHeight="false" outlineLevel="0" collapsed="false">
      <c r="A30" s="83" t="s">
        <v>97</v>
      </c>
      <c r="B30" s="83" t="s">
        <v>98</v>
      </c>
      <c r="C30" s="83" t="s">
        <v>99</v>
      </c>
      <c r="D30" s="83" t="s">
        <v>100</v>
      </c>
      <c r="E30" s="83" t="s">
        <v>101</v>
      </c>
      <c r="F30" s="83" t="s">
        <v>146</v>
      </c>
      <c r="G30" s="84" t="s">
        <v>144</v>
      </c>
      <c r="H30" s="85" t="n">
        <f aca="false">IFERROR(--REPLACE(SUBSTITUTE(G30,"T"," "),LEN(G30)-6,6,""),"")</f>
        <v>46174</v>
      </c>
      <c r="I30" s="84" t="s">
        <v>324</v>
      </c>
      <c r="J30" s="85" t="n">
        <f aca="false">IFERROR(--REPLACE(SUBSTITUTE(I30,"T"," "),LEN(I30)-6,6,""),"")</f>
        <v>46539</v>
      </c>
      <c r="K30" s="83"/>
      <c r="L30" s="83" t="s">
        <v>105</v>
      </c>
      <c r="M30" s="83" t="s">
        <v>106</v>
      </c>
      <c r="N30" s="83" t="s">
        <v>325</v>
      </c>
      <c r="O30" s="83" t="s">
        <v>146</v>
      </c>
      <c r="P30" s="83" t="s">
        <v>147</v>
      </c>
      <c r="Q30" s="84" t="s">
        <v>326</v>
      </c>
      <c r="R30" s="85" t="n">
        <f aca="false">IFERROR(--REPLACE(SUBSTITUTE(Q30,"T"," "),LEN(Q30)-6,6,""),"")</f>
        <v>46177</v>
      </c>
      <c r="S30" s="83" t="s">
        <v>111</v>
      </c>
      <c r="T30" s="86" t="n">
        <v>0</v>
      </c>
      <c r="U30" s="86" t="n">
        <v>257.97</v>
      </c>
      <c r="V30" s="86" t="n">
        <v>257.97</v>
      </c>
      <c r="W30" s="86" t="n">
        <v>0</v>
      </c>
      <c r="X30" s="86" t="n">
        <v>0</v>
      </c>
      <c r="Y30" s="86" t="n">
        <v>0</v>
      </c>
      <c r="Z30" s="86" t="n">
        <v>0</v>
      </c>
      <c r="AA30" s="86" t="n">
        <v>0</v>
      </c>
      <c r="AB30" s="86"/>
      <c r="AC30" s="86" t="n">
        <v>0</v>
      </c>
      <c r="AD30" s="86" t="n">
        <v>0</v>
      </c>
      <c r="AE30" s="86" t="n">
        <v>0</v>
      </c>
      <c r="AF30" s="87"/>
      <c r="AG30" s="87" t="s">
        <v>327</v>
      </c>
      <c r="AH30" s="87" t="s">
        <v>149</v>
      </c>
      <c r="AI30" s="87" t="s">
        <v>328</v>
      </c>
      <c r="AJ30" s="87"/>
      <c r="AK30" s="87"/>
      <c r="AL30" s="87"/>
      <c r="AM30" s="87"/>
      <c r="AN30" s="84" t="s">
        <v>326</v>
      </c>
      <c r="AO30" s="85" t="n">
        <f aca="false">IFERROR(--REPLACE(SUBSTITUTE(AN30,"T"," "),LEN(AN30)-6,6,""),"")</f>
        <v>46177</v>
      </c>
      <c r="AP30" s="83" t="s">
        <v>116</v>
      </c>
      <c r="AQ30" s="84" t="s">
        <v>329</v>
      </c>
      <c r="AR30" s="85" t="n">
        <f aca="false">IFERROR(--REPLACE(SUBSTITUTE(AQ30,"T"," "),LEN(AQ30)-6,6,""),"")</f>
        <v>46230</v>
      </c>
      <c r="AS30" s="83" t="s">
        <v>330</v>
      </c>
      <c r="AT30" s="83" t="s">
        <v>331</v>
      </c>
      <c r="AU30" s="83" t="s">
        <v>234</v>
      </c>
      <c r="AV30" s="83"/>
      <c r="AW30" s="88"/>
      <c r="AX30" s="88"/>
      <c r="AY30" s="83"/>
      <c r="AZ30" s="83"/>
      <c r="BA30" s="83"/>
      <c r="BB30" s="83"/>
      <c r="BC30" s="83"/>
      <c r="BD30" s="83" t="s">
        <v>332</v>
      </c>
      <c r="BE30" s="83" t="s">
        <v>333</v>
      </c>
      <c r="BF30" s="83" t="s">
        <v>123</v>
      </c>
      <c r="BG30" s="88" t="s">
        <v>124</v>
      </c>
      <c r="BH30" s="88" t="s">
        <v>125</v>
      </c>
      <c r="BI30" s="88" t="s">
        <v>125</v>
      </c>
      <c r="BJ30" s="88" t="s">
        <v>126</v>
      </c>
      <c r="BK30" s="83" t="s">
        <v>334</v>
      </c>
      <c r="BL30" s="89" t="n">
        <v>2026</v>
      </c>
      <c r="BM30" s="90" t="n">
        <v>0</v>
      </c>
      <c r="BN30" s="83" t="s">
        <v>335</v>
      </c>
      <c r="BO30" s="91" t="n">
        <f aca="false">IF(SUMPRODUCT(($A$2:$A31=A31)*($N$2:$N31=N31))&gt;1,0,1)</f>
        <v>1</v>
      </c>
    </row>
    <row r="31" customFormat="false" ht="15" hidden="false" customHeight="false" outlineLevel="0" collapsed="false">
      <c r="A31" s="83" t="s">
        <v>97</v>
      </c>
      <c r="B31" s="83" t="s">
        <v>98</v>
      </c>
      <c r="C31" s="83"/>
      <c r="D31" s="83" t="s">
        <v>170</v>
      </c>
      <c r="E31" s="83" t="s">
        <v>171</v>
      </c>
      <c r="F31" s="83" t="s">
        <v>108</v>
      </c>
      <c r="G31" s="84" t="s">
        <v>104</v>
      </c>
      <c r="H31" s="85" t="n">
        <f aca="false">IFERROR(--REPLACE(SUBSTITUTE(G31,"T"," "),LEN(G31)-6,6,""),"")</f>
        <v>45809</v>
      </c>
      <c r="I31" s="84" t="s">
        <v>144</v>
      </c>
      <c r="J31" s="85" t="n">
        <f aca="false">IFERROR(--REPLACE(SUBSTITUTE(I31,"T"," "),LEN(I31)-6,6,""),"")</f>
        <v>46174</v>
      </c>
      <c r="K31" s="83"/>
      <c r="L31" s="83" t="s">
        <v>105</v>
      </c>
      <c r="M31" s="83" t="s">
        <v>106</v>
      </c>
      <c r="N31" s="83" t="s">
        <v>336</v>
      </c>
      <c r="O31" s="83" t="s">
        <v>108</v>
      </c>
      <c r="P31" s="83" t="s">
        <v>173</v>
      </c>
      <c r="Q31" s="84" t="s">
        <v>337</v>
      </c>
      <c r="R31" s="85" t="n">
        <f aca="false">IFERROR(--REPLACE(SUBSTITUTE(Q31,"T"," "),LEN(Q31)-6,6,""),"")</f>
        <v>46071</v>
      </c>
      <c r="S31" s="83" t="s">
        <v>111</v>
      </c>
      <c r="T31" s="86" t="n">
        <v>0</v>
      </c>
      <c r="U31" s="86" t="n">
        <v>417.94</v>
      </c>
      <c r="V31" s="86" t="n">
        <v>417.94</v>
      </c>
      <c r="W31" s="86" t="n">
        <v>0</v>
      </c>
      <c r="X31" s="86" t="n">
        <v>0</v>
      </c>
      <c r="Y31" s="86" t="n">
        <v>0</v>
      </c>
      <c r="Z31" s="86" t="n">
        <v>0</v>
      </c>
      <c r="AA31" s="86" t="n">
        <v>0</v>
      </c>
      <c r="AB31" s="86"/>
      <c r="AC31" s="86" t="n">
        <v>0</v>
      </c>
      <c r="AD31" s="86" t="n">
        <v>0</v>
      </c>
      <c r="AE31" s="86" t="n">
        <v>0</v>
      </c>
      <c r="AF31" s="87"/>
      <c r="AG31" s="87" t="s">
        <v>175</v>
      </c>
      <c r="AH31" s="87" t="s">
        <v>338</v>
      </c>
      <c r="AI31" s="87" t="s">
        <v>177</v>
      </c>
      <c r="AJ31" s="87"/>
      <c r="AK31" s="87"/>
      <c r="AL31" s="87"/>
      <c r="AM31" s="87"/>
      <c r="AN31" s="84" t="s">
        <v>163</v>
      </c>
      <c r="AO31" s="85" t="n">
        <f aca="false">IFERROR(--REPLACE(SUBSTITUTE(AN31,"T"," "),LEN(AN31)-6,6,""),"")</f>
        <v>46134</v>
      </c>
      <c r="AP31" s="83" t="s">
        <v>116</v>
      </c>
      <c r="AQ31" s="84" t="s">
        <v>163</v>
      </c>
      <c r="AR31" s="85" t="n">
        <f aca="false">IFERROR(--REPLACE(SUBSTITUTE(AQ31,"T"," "),LEN(AQ31)-6,6,""),"")</f>
        <v>46134</v>
      </c>
      <c r="AS31" s="83" t="s">
        <v>98</v>
      </c>
      <c r="AT31" s="83"/>
      <c r="AU31" s="83" t="s">
        <v>195</v>
      </c>
      <c r="AV31" s="83"/>
      <c r="AW31" s="88" t="s">
        <v>125</v>
      </c>
      <c r="AX31" s="88" t="s">
        <v>339</v>
      </c>
      <c r="AY31" s="83" t="s">
        <v>181</v>
      </c>
      <c r="AZ31" s="83" t="s">
        <v>190</v>
      </c>
      <c r="BA31" s="83" t="s">
        <v>340</v>
      </c>
      <c r="BB31" s="83"/>
      <c r="BC31" s="83"/>
      <c r="BD31" s="83" t="s">
        <v>341</v>
      </c>
      <c r="BE31" s="83" t="s">
        <v>342</v>
      </c>
      <c r="BF31" s="83" t="s">
        <v>123</v>
      </c>
      <c r="BG31" s="88" t="s">
        <v>124</v>
      </c>
      <c r="BH31" s="88" t="s">
        <v>125</v>
      </c>
      <c r="BI31" s="88" t="s">
        <v>125</v>
      </c>
      <c r="BJ31" s="88" t="s">
        <v>126</v>
      </c>
      <c r="BK31" s="83" t="s">
        <v>343</v>
      </c>
      <c r="BL31" s="89" t="n">
        <v>2025</v>
      </c>
      <c r="BM31" s="90" t="n">
        <v>0</v>
      </c>
      <c r="BN31" s="83" t="s">
        <v>344</v>
      </c>
      <c r="BO31" s="91" t="n">
        <f aca="false">IF(SUMPRODUCT(($A$2:$A32=A32)*($N$2:$N32=N32))&gt;1,0,1)</f>
        <v>1</v>
      </c>
    </row>
    <row r="32" customFormat="false" ht="15" hidden="false" customHeight="false" outlineLevel="0" collapsed="false">
      <c r="A32" s="83" t="s">
        <v>97</v>
      </c>
      <c r="B32" s="83" t="s">
        <v>98</v>
      </c>
      <c r="C32" s="83"/>
      <c r="D32" s="83" t="s">
        <v>170</v>
      </c>
      <c r="E32" s="83" t="s">
        <v>171</v>
      </c>
      <c r="F32" s="83" t="s">
        <v>108</v>
      </c>
      <c r="G32" s="84" t="s">
        <v>104</v>
      </c>
      <c r="H32" s="85" t="n">
        <f aca="false">IFERROR(--REPLACE(SUBSTITUTE(G32,"T"," "),LEN(G32)-6,6,""),"")</f>
        <v>45809</v>
      </c>
      <c r="I32" s="84" t="s">
        <v>144</v>
      </c>
      <c r="J32" s="85" t="n">
        <f aca="false">IFERROR(--REPLACE(SUBSTITUTE(I32,"T"," "),LEN(I32)-6,6,""),"")</f>
        <v>46174</v>
      </c>
      <c r="K32" s="83"/>
      <c r="L32" s="83" t="s">
        <v>105</v>
      </c>
      <c r="M32" s="83" t="s">
        <v>106</v>
      </c>
      <c r="N32" s="83" t="s">
        <v>345</v>
      </c>
      <c r="O32" s="83" t="s">
        <v>108</v>
      </c>
      <c r="P32" s="83" t="s">
        <v>173</v>
      </c>
      <c r="Q32" s="84" t="s">
        <v>346</v>
      </c>
      <c r="R32" s="85" t="n">
        <f aca="false">IFERROR(--REPLACE(SUBSTITUTE(Q32,"T"," "),LEN(Q32)-6,6,""),"")</f>
        <v>45923</v>
      </c>
      <c r="S32" s="83" t="s">
        <v>111</v>
      </c>
      <c r="T32" s="86" t="n">
        <v>0</v>
      </c>
      <c r="U32" s="86" t="n">
        <v>487.34</v>
      </c>
      <c r="V32" s="86" t="n">
        <v>487.34</v>
      </c>
      <c r="W32" s="86" t="n">
        <v>0</v>
      </c>
      <c r="X32" s="86" t="n">
        <v>0</v>
      </c>
      <c r="Y32" s="86" t="n">
        <v>0</v>
      </c>
      <c r="Z32" s="86" t="n">
        <v>0</v>
      </c>
      <c r="AA32" s="86" t="n">
        <v>0</v>
      </c>
      <c r="AB32" s="86"/>
      <c r="AC32" s="86" t="n">
        <v>0</v>
      </c>
      <c r="AD32" s="86" t="n">
        <v>0</v>
      </c>
      <c r="AE32" s="86" t="n">
        <v>0</v>
      </c>
      <c r="AF32" s="87"/>
      <c r="AG32" s="87" t="s">
        <v>175</v>
      </c>
      <c r="AH32" s="87" t="s">
        <v>338</v>
      </c>
      <c r="AI32" s="87" t="s">
        <v>177</v>
      </c>
      <c r="AJ32" s="87"/>
      <c r="AK32" s="87"/>
      <c r="AL32" s="87"/>
      <c r="AM32" s="87"/>
      <c r="AN32" s="84" t="s">
        <v>347</v>
      </c>
      <c r="AO32" s="85" t="n">
        <f aca="false">IFERROR(--REPLACE(SUBSTITUTE(AN32,"T"," "),LEN(AN32)-6,6,""),"")</f>
        <v>45932</v>
      </c>
      <c r="AP32" s="83" t="s">
        <v>116</v>
      </c>
      <c r="AQ32" s="84" t="s">
        <v>348</v>
      </c>
      <c r="AR32" s="85" t="n">
        <f aca="false">IFERROR(--REPLACE(SUBSTITUTE(AQ32,"T"," "),LEN(AQ32)-6,6,""),"")</f>
        <v>45933</v>
      </c>
      <c r="AS32" s="83" t="s">
        <v>98</v>
      </c>
      <c r="AT32" s="83"/>
      <c r="AU32" s="83" t="s">
        <v>166</v>
      </c>
      <c r="AV32" s="83"/>
      <c r="AW32" s="88" t="s">
        <v>125</v>
      </c>
      <c r="AX32" s="88" t="s">
        <v>273</v>
      </c>
      <c r="AY32" s="83" t="s">
        <v>349</v>
      </c>
      <c r="AZ32" s="83" t="s">
        <v>350</v>
      </c>
      <c r="BA32" s="83" t="s">
        <v>351</v>
      </c>
      <c r="BB32" s="83"/>
      <c r="BC32" s="83" t="s">
        <v>111</v>
      </c>
      <c r="BD32" s="83" t="s">
        <v>184</v>
      </c>
      <c r="BE32" s="83" t="s">
        <v>185</v>
      </c>
      <c r="BF32" s="83" t="s">
        <v>123</v>
      </c>
      <c r="BG32" s="88" t="s">
        <v>124</v>
      </c>
      <c r="BH32" s="88" t="s">
        <v>352</v>
      </c>
      <c r="BI32" s="88" t="s">
        <v>125</v>
      </c>
      <c r="BJ32" s="88" t="s">
        <v>126</v>
      </c>
      <c r="BK32" s="83" t="s">
        <v>343</v>
      </c>
      <c r="BL32" s="89" t="n">
        <v>2025</v>
      </c>
      <c r="BM32" s="90" t="n">
        <v>0</v>
      </c>
      <c r="BN32" s="83" t="s">
        <v>353</v>
      </c>
      <c r="BO32" s="91" t="n">
        <f aca="false">IF(SUMPRODUCT(($A$2:$A33=A33)*($N$2:$N33=N33))&gt;1,0,1)</f>
        <v>1</v>
      </c>
    </row>
    <row r="33" customFormat="false" ht="15" hidden="false" customHeight="false" outlineLevel="0" collapsed="false">
      <c r="A33" s="83" t="s">
        <v>97</v>
      </c>
      <c r="B33" s="83" t="s">
        <v>98</v>
      </c>
      <c r="C33" s="83"/>
      <c r="D33" s="83" t="s">
        <v>170</v>
      </c>
      <c r="E33" s="83" t="s">
        <v>171</v>
      </c>
      <c r="F33" s="83" t="s">
        <v>108</v>
      </c>
      <c r="G33" s="84" t="s">
        <v>104</v>
      </c>
      <c r="H33" s="85" t="n">
        <f aca="false">IFERROR(--REPLACE(SUBSTITUTE(G33,"T"," "),LEN(G33)-6,6,""),"")</f>
        <v>45809</v>
      </c>
      <c r="I33" s="84" t="s">
        <v>144</v>
      </c>
      <c r="J33" s="85" t="n">
        <f aca="false">IFERROR(--REPLACE(SUBSTITUTE(I33,"T"," "),LEN(I33)-6,6,""),"")</f>
        <v>46174</v>
      </c>
      <c r="K33" s="83"/>
      <c r="L33" s="83" t="s">
        <v>105</v>
      </c>
      <c r="M33" s="83" t="s">
        <v>106</v>
      </c>
      <c r="N33" s="83" t="s">
        <v>354</v>
      </c>
      <c r="O33" s="83" t="s">
        <v>108</v>
      </c>
      <c r="P33" s="83" t="s">
        <v>173</v>
      </c>
      <c r="Q33" s="84" t="s">
        <v>355</v>
      </c>
      <c r="R33" s="85" t="n">
        <f aca="false">IFERROR(--REPLACE(SUBSTITUTE(Q33,"T"," "),LEN(Q33)-6,6,""),"")</f>
        <v>46084</v>
      </c>
      <c r="S33" s="83" t="s">
        <v>111</v>
      </c>
      <c r="T33" s="86" t="n">
        <v>0</v>
      </c>
      <c r="U33" s="86" t="n">
        <v>488.74</v>
      </c>
      <c r="V33" s="86" t="n">
        <v>488.74</v>
      </c>
      <c r="W33" s="86" t="n">
        <v>0</v>
      </c>
      <c r="X33" s="86" t="n">
        <v>0</v>
      </c>
      <c r="Y33" s="86" t="n">
        <v>0</v>
      </c>
      <c r="Z33" s="86" t="n">
        <v>0</v>
      </c>
      <c r="AA33" s="86" t="n">
        <v>0</v>
      </c>
      <c r="AB33" s="86"/>
      <c r="AC33" s="86" t="n">
        <v>0</v>
      </c>
      <c r="AD33" s="86" t="n">
        <v>0</v>
      </c>
      <c r="AE33" s="86" t="n">
        <v>0</v>
      </c>
      <c r="AF33" s="87"/>
      <c r="AG33" s="87" t="s">
        <v>175</v>
      </c>
      <c r="AH33" s="87" t="s">
        <v>338</v>
      </c>
      <c r="AI33" s="87" t="s">
        <v>177</v>
      </c>
      <c r="AJ33" s="87"/>
      <c r="AK33" s="87"/>
      <c r="AL33" s="87"/>
      <c r="AM33" s="87"/>
      <c r="AN33" s="84" t="s">
        <v>356</v>
      </c>
      <c r="AO33" s="85" t="n">
        <f aca="false">IFERROR(--REPLACE(SUBSTITUTE(AN33,"T"," "),LEN(AN33)-6,6,""),"")</f>
        <v>46122</v>
      </c>
      <c r="AP33" s="83" t="s">
        <v>116</v>
      </c>
      <c r="AQ33" s="84" t="s">
        <v>357</v>
      </c>
      <c r="AR33" s="85" t="n">
        <f aca="false">IFERROR(--REPLACE(SUBSTITUTE(AQ33,"T"," "),LEN(AQ33)-6,6,""),"")</f>
        <v>46128</v>
      </c>
      <c r="AS33" s="83" t="s">
        <v>98</v>
      </c>
      <c r="AT33" s="83"/>
      <c r="AU33" s="83" t="s">
        <v>166</v>
      </c>
      <c r="AV33" s="83"/>
      <c r="AW33" s="88" t="s">
        <v>125</v>
      </c>
      <c r="AX33" s="88" t="s">
        <v>358</v>
      </c>
      <c r="AY33" s="83" t="s">
        <v>359</v>
      </c>
      <c r="AZ33" s="83" t="s">
        <v>360</v>
      </c>
      <c r="BA33" s="83" t="s">
        <v>361</v>
      </c>
      <c r="BB33" s="83"/>
      <c r="BC33" s="83"/>
      <c r="BD33" s="83" t="s">
        <v>184</v>
      </c>
      <c r="BE33" s="83" t="s">
        <v>185</v>
      </c>
      <c r="BF33" s="83" t="s">
        <v>123</v>
      </c>
      <c r="BG33" s="88" t="s">
        <v>124</v>
      </c>
      <c r="BH33" s="88" t="s">
        <v>352</v>
      </c>
      <c r="BI33" s="88" t="s">
        <v>125</v>
      </c>
      <c r="BJ33" s="88" t="s">
        <v>126</v>
      </c>
      <c r="BK33" s="83" t="s">
        <v>343</v>
      </c>
      <c r="BL33" s="89" t="n">
        <v>2025</v>
      </c>
      <c r="BM33" s="90" t="n">
        <v>0</v>
      </c>
      <c r="BN33" s="83" t="s">
        <v>362</v>
      </c>
      <c r="BO33" s="91" t="n">
        <f aca="false">IF(SUMPRODUCT(($A$2:$A34=A34)*($N$2:$N34=N34))&gt;1,0,1)</f>
        <v>1</v>
      </c>
    </row>
    <row r="34" customFormat="false" ht="15" hidden="false" customHeight="false" outlineLevel="0" collapsed="false">
      <c r="A34" s="83" t="s">
        <v>97</v>
      </c>
      <c r="B34" s="83" t="s">
        <v>98</v>
      </c>
      <c r="C34" s="83"/>
      <c r="D34" s="83" t="s">
        <v>170</v>
      </c>
      <c r="E34" s="83" t="s">
        <v>171</v>
      </c>
      <c r="F34" s="83" t="s">
        <v>102</v>
      </c>
      <c r="G34" s="84" t="s">
        <v>103</v>
      </c>
      <c r="H34" s="85" t="n">
        <f aca="false">IFERROR(--REPLACE(SUBSTITUTE(G34,"T"," "),LEN(G34)-6,6,""),"")</f>
        <v>45444</v>
      </c>
      <c r="I34" s="84" t="s">
        <v>104</v>
      </c>
      <c r="J34" s="85" t="n">
        <f aca="false">IFERROR(--REPLACE(SUBSTITUTE(I34,"T"," "),LEN(I34)-6,6,""),"")</f>
        <v>45809</v>
      </c>
      <c r="K34" s="83"/>
      <c r="L34" s="83" t="s">
        <v>105</v>
      </c>
      <c r="M34" s="83" t="s">
        <v>106</v>
      </c>
      <c r="N34" s="83" t="s">
        <v>363</v>
      </c>
      <c r="O34" s="83" t="s">
        <v>108</v>
      </c>
      <c r="P34" s="83" t="s">
        <v>173</v>
      </c>
      <c r="Q34" s="84" t="s">
        <v>364</v>
      </c>
      <c r="R34" s="85" t="n">
        <f aca="false">IFERROR(--REPLACE(SUBSTITUTE(Q34,"T"," "),LEN(Q34)-6,6,""),"")</f>
        <v>45699</v>
      </c>
      <c r="S34" s="83" t="s">
        <v>111</v>
      </c>
      <c r="T34" s="86" t="n">
        <v>0</v>
      </c>
      <c r="U34" s="86" t="n">
        <v>494.77</v>
      </c>
      <c r="V34" s="86" t="n">
        <v>494.77</v>
      </c>
      <c r="W34" s="86" t="n">
        <v>0</v>
      </c>
      <c r="X34" s="86" t="n">
        <v>0</v>
      </c>
      <c r="Y34" s="86" t="n">
        <v>0</v>
      </c>
      <c r="Z34" s="86" t="n">
        <v>0</v>
      </c>
      <c r="AA34" s="86" t="n">
        <v>0</v>
      </c>
      <c r="AB34" s="86"/>
      <c r="AC34" s="86" t="n">
        <v>0</v>
      </c>
      <c r="AD34" s="86" t="n">
        <v>0</v>
      </c>
      <c r="AE34" s="86" t="n">
        <v>0</v>
      </c>
      <c r="AF34" s="87"/>
      <c r="AG34" s="87" t="s">
        <v>175</v>
      </c>
      <c r="AH34" s="87" t="s">
        <v>338</v>
      </c>
      <c r="AI34" s="87" t="s">
        <v>177</v>
      </c>
      <c r="AJ34" s="87"/>
      <c r="AK34" s="87"/>
      <c r="AL34" s="87"/>
      <c r="AM34" s="87"/>
      <c r="AN34" s="84" t="s">
        <v>365</v>
      </c>
      <c r="AO34" s="85" t="n">
        <f aca="false">IFERROR(--REPLACE(SUBSTITUTE(AN34,"T"," "),LEN(AN34)-6,6,""),"")</f>
        <v>45706</v>
      </c>
      <c r="AP34" s="83" t="s">
        <v>116</v>
      </c>
      <c r="AQ34" s="84" t="s">
        <v>365</v>
      </c>
      <c r="AR34" s="85" t="n">
        <f aca="false">IFERROR(--REPLACE(SUBSTITUTE(AQ34,"T"," "),LEN(AQ34)-6,6,""),"")</f>
        <v>45706</v>
      </c>
      <c r="AS34" s="83" t="s">
        <v>98</v>
      </c>
      <c r="AT34" s="83"/>
      <c r="AU34" s="83" t="s">
        <v>166</v>
      </c>
      <c r="AV34" s="83"/>
      <c r="AW34" s="88" t="s">
        <v>125</v>
      </c>
      <c r="AX34" s="88" t="s">
        <v>228</v>
      </c>
      <c r="AY34" s="83" t="s">
        <v>366</v>
      </c>
      <c r="AZ34" s="83" t="s">
        <v>367</v>
      </c>
      <c r="BA34" s="83" t="s">
        <v>230</v>
      </c>
      <c r="BB34" s="83"/>
      <c r="BC34" s="83" t="s">
        <v>111</v>
      </c>
      <c r="BD34" s="83" t="s">
        <v>368</v>
      </c>
      <c r="BE34" s="83" t="s">
        <v>369</v>
      </c>
      <c r="BF34" s="83" t="s">
        <v>123</v>
      </c>
      <c r="BG34" s="88" t="s">
        <v>124</v>
      </c>
      <c r="BH34" s="88" t="s">
        <v>352</v>
      </c>
      <c r="BI34" s="88" t="s">
        <v>125</v>
      </c>
      <c r="BJ34" s="88" t="s">
        <v>126</v>
      </c>
      <c r="BK34" s="83" t="s">
        <v>186</v>
      </c>
      <c r="BL34" s="89" t="n">
        <v>2024</v>
      </c>
      <c r="BM34" s="90" t="n">
        <v>0</v>
      </c>
      <c r="BN34" s="83" t="s">
        <v>370</v>
      </c>
      <c r="BO34" s="91" t="n">
        <f aca="false">IF(SUMPRODUCT(($A$2:$A35=A35)*($N$2:$N35=N35))&gt;1,0,1)</f>
        <v>1</v>
      </c>
    </row>
    <row r="35" customFormat="false" ht="15" hidden="false" customHeight="false" outlineLevel="0" collapsed="false">
      <c r="A35" s="83" t="s">
        <v>97</v>
      </c>
      <c r="B35" s="83" t="s">
        <v>98</v>
      </c>
      <c r="C35" s="83" t="s">
        <v>99</v>
      </c>
      <c r="D35" s="83" t="s">
        <v>100</v>
      </c>
      <c r="E35" s="83" t="s">
        <v>101</v>
      </c>
      <c r="F35" s="83" t="s">
        <v>102</v>
      </c>
      <c r="G35" s="84" t="s">
        <v>103</v>
      </c>
      <c r="H35" s="85" t="n">
        <f aca="false">IFERROR(--REPLACE(SUBSTITUTE(G35,"T"," "),LEN(G35)-6,6,""),"")</f>
        <v>45444</v>
      </c>
      <c r="I35" s="84" t="s">
        <v>104</v>
      </c>
      <c r="J35" s="85" t="n">
        <f aca="false">IFERROR(--REPLACE(SUBSTITUTE(I35,"T"," "),LEN(I35)-6,6,""),"")</f>
        <v>45809</v>
      </c>
      <c r="K35" s="83"/>
      <c r="L35" s="83" t="s">
        <v>105</v>
      </c>
      <c r="M35" s="83" t="s">
        <v>106</v>
      </c>
      <c r="N35" s="83" t="s">
        <v>371</v>
      </c>
      <c r="O35" s="83" t="s">
        <v>146</v>
      </c>
      <c r="P35" s="83" t="s">
        <v>147</v>
      </c>
      <c r="Q35" s="84" t="s">
        <v>259</v>
      </c>
      <c r="R35" s="85" t="n">
        <f aca="false">IFERROR(--REPLACE(SUBSTITUTE(Q35,"T"," "),LEN(Q35)-6,6,""),"")</f>
        <v>45638</v>
      </c>
      <c r="S35" s="83" t="s">
        <v>111</v>
      </c>
      <c r="T35" s="86" t="n">
        <v>0</v>
      </c>
      <c r="U35" s="86" t="n">
        <v>1029.12</v>
      </c>
      <c r="V35" s="86" t="n">
        <v>1029.12</v>
      </c>
      <c r="W35" s="86" t="n">
        <v>34</v>
      </c>
      <c r="X35" s="86" t="n">
        <v>0</v>
      </c>
      <c r="Y35" s="86" t="n">
        <v>0</v>
      </c>
      <c r="Z35" s="86" t="n">
        <v>0</v>
      </c>
      <c r="AA35" s="86" t="n">
        <v>0</v>
      </c>
      <c r="AB35" s="86"/>
      <c r="AC35" s="86" t="n">
        <v>34</v>
      </c>
      <c r="AD35" s="86" t="n">
        <v>34</v>
      </c>
      <c r="AE35" s="86" t="n">
        <v>0</v>
      </c>
      <c r="AF35" s="87"/>
      <c r="AG35" s="87" t="s">
        <v>112</v>
      </c>
      <c r="AH35" s="87" t="s">
        <v>113</v>
      </c>
      <c r="AI35" s="87" t="s">
        <v>372</v>
      </c>
      <c r="AJ35" s="87"/>
      <c r="AK35" s="87"/>
      <c r="AL35" s="87"/>
      <c r="AM35" s="87"/>
      <c r="AN35" s="84" t="s">
        <v>373</v>
      </c>
      <c r="AO35" s="85" t="n">
        <f aca="false">IFERROR(--REPLACE(SUBSTITUTE(AN35,"T"," "),LEN(AN35)-6,6,""),"")</f>
        <v>45642</v>
      </c>
      <c r="AP35" s="83" t="s">
        <v>116</v>
      </c>
      <c r="AQ35" s="84" t="s">
        <v>374</v>
      </c>
      <c r="AR35" s="85" t="n">
        <f aca="false">IFERROR(--REPLACE(SUBSTITUTE(AQ35,"T"," "),LEN(AQ35)-6,6,""),"")</f>
        <v>45711</v>
      </c>
      <c r="AS35" s="83" t="s">
        <v>375</v>
      </c>
      <c r="AT35" s="83" t="s">
        <v>376</v>
      </c>
      <c r="AU35" s="83" t="s">
        <v>234</v>
      </c>
      <c r="AV35" s="83"/>
      <c r="AW35" s="88"/>
      <c r="AX35" s="88"/>
      <c r="AY35" s="83"/>
      <c r="AZ35" s="83"/>
      <c r="BA35" s="83"/>
      <c r="BB35" s="83"/>
      <c r="BC35" s="83"/>
      <c r="BD35" s="83" t="s">
        <v>321</v>
      </c>
      <c r="BE35" s="83" t="s">
        <v>322</v>
      </c>
      <c r="BF35" s="83" t="s">
        <v>123</v>
      </c>
      <c r="BG35" s="88" t="s">
        <v>124</v>
      </c>
      <c r="BH35" s="88" t="s">
        <v>125</v>
      </c>
      <c r="BI35" s="88" t="s">
        <v>125</v>
      </c>
      <c r="BJ35" s="88" t="s">
        <v>126</v>
      </c>
      <c r="BK35" s="83" t="s">
        <v>127</v>
      </c>
      <c r="BL35" s="89" t="n">
        <v>2024</v>
      </c>
      <c r="BM35" s="90" t="n">
        <v>0</v>
      </c>
      <c r="BN35" s="83" t="s">
        <v>377</v>
      </c>
      <c r="BO35" s="91" t="n">
        <f aca="false">IF(SUMPRODUCT(($A$2:$A36=A36)*($N$2:$N36=N36))&gt;1,0,1)</f>
        <v>1</v>
      </c>
    </row>
    <row r="36" customFormat="false" ht="15" hidden="false" customHeight="false" outlineLevel="0" collapsed="false">
      <c r="A36" s="83" t="s">
        <v>97</v>
      </c>
      <c r="B36" s="83" t="s">
        <v>98</v>
      </c>
      <c r="C36" s="83"/>
      <c r="D36" s="83" t="s">
        <v>170</v>
      </c>
      <c r="E36" s="83" t="s">
        <v>171</v>
      </c>
      <c r="F36" s="83" t="s">
        <v>102</v>
      </c>
      <c r="G36" s="84" t="s">
        <v>103</v>
      </c>
      <c r="H36" s="85" t="n">
        <f aca="false">IFERROR(--REPLACE(SUBSTITUTE(G36,"T"," "),LEN(G36)-6,6,""),"")</f>
        <v>45444</v>
      </c>
      <c r="I36" s="84" t="s">
        <v>104</v>
      </c>
      <c r="J36" s="85" t="n">
        <f aca="false">IFERROR(--REPLACE(SUBSTITUTE(I36,"T"," "),LEN(I36)-6,6,""),"")</f>
        <v>45809</v>
      </c>
      <c r="K36" s="83"/>
      <c r="L36" s="83" t="s">
        <v>105</v>
      </c>
      <c r="M36" s="83" t="s">
        <v>106</v>
      </c>
      <c r="N36" s="83" t="s">
        <v>378</v>
      </c>
      <c r="O36" s="83" t="s">
        <v>108</v>
      </c>
      <c r="P36" s="83" t="s">
        <v>379</v>
      </c>
      <c r="Q36" s="84" t="s">
        <v>380</v>
      </c>
      <c r="R36" s="85" t="n">
        <f aca="false">IFERROR(--REPLACE(SUBSTITUTE(Q36,"T"," "),LEN(Q36)-6,6,""),"")</f>
        <v>45687</v>
      </c>
      <c r="S36" s="83" t="s">
        <v>111</v>
      </c>
      <c r="T36" s="86" t="n">
        <v>0</v>
      </c>
      <c r="U36" s="86" t="n">
        <v>1087.22</v>
      </c>
      <c r="V36" s="86" t="n">
        <v>1087.22</v>
      </c>
      <c r="W36" s="86" t="n">
        <v>0</v>
      </c>
      <c r="X36" s="86" t="n">
        <v>0</v>
      </c>
      <c r="Y36" s="86" t="n">
        <v>0</v>
      </c>
      <c r="Z36" s="86" t="n">
        <v>0</v>
      </c>
      <c r="AA36" s="86" t="n">
        <v>0</v>
      </c>
      <c r="AB36" s="86"/>
      <c r="AC36" s="86" t="n">
        <v>0</v>
      </c>
      <c r="AD36" s="86" t="n">
        <v>0</v>
      </c>
      <c r="AE36" s="86" t="n">
        <v>0</v>
      </c>
      <c r="AF36" s="87"/>
      <c r="AG36" s="87" t="s">
        <v>381</v>
      </c>
      <c r="AH36" s="87" t="s">
        <v>382</v>
      </c>
      <c r="AI36" s="87" t="s">
        <v>177</v>
      </c>
      <c r="AJ36" s="87"/>
      <c r="AK36" s="87"/>
      <c r="AL36" s="87"/>
      <c r="AM36" s="87"/>
      <c r="AN36" s="84" t="s">
        <v>383</v>
      </c>
      <c r="AO36" s="85" t="n">
        <f aca="false">IFERROR(--REPLACE(SUBSTITUTE(AN36,"T"," "),LEN(AN36)-6,6,""),"")</f>
        <v>45692</v>
      </c>
      <c r="AP36" s="83" t="s">
        <v>116</v>
      </c>
      <c r="AQ36" s="84" t="s">
        <v>384</v>
      </c>
      <c r="AR36" s="85" t="n">
        <f aca="false">IFERROR(--REPLACE(SUBSTITUTE(AQ36,"T"," "),LEN(AQ36)-6,6,""),"")</f>
        <v>45722</v>
      </c>
      <c r="AS36" s="83" t="s">
        <v>98</v>
      </c>
      <c r="AT36" s="83"/>
      <c r="AU36" s="83" t="s">
        <v>234</v>
      </c>
      <c r="AV36" s="83"/>
      <c r="AW36" s="88" t="s">
        <v>125</v>
      </c>
      <c r="AX36" s="88" t="s">
        <v>385</v>
      </c>
      <c r="AY36" s="83" t="s">
        <v>359</v>
      </c>
      <c r="AZ36" s="83" t="s">
        <v>386</v>
      </c>
      <c r="BA36" s="83" t="s">
        <v>387</v>
      </c>
      <c r="BB36" s="83"/>
      <c r="BC36" s="83" t="s">
        <v>111</v>
      </c>
      <c r="BD36" s="83" t="s">
        <v>388</v>
      </c>
      <c r="BE36" s="83" t="s">
        <v>389</v>
      </c>
      <c r="BF36" s="83" t="s">
        <v>123</v>
      </c>
      <c r="BG36" s="88" t="s">
        <v>124</v>
      </c>
      <c r="BH36" s="88" t="s">
        <v>125</v>
      </c>
      <c r="BI36" s="88" t="s">
        <v>125</v>
      </c>
      <c r="BJ36" s="88" t="s">
        <v>126</v>
      </c>
      <c r="BK36" s="83" t="s">
        <v>186</v>
      </c>
      <c r="BL36" s="89" t="n">
        <v>2024</v>
      </c>
      <c r="BM36" s="90" t="n">
        <v>0</v>
      </c>
      <c r="BN36" s="83" t="s">
        <v>390</v>
      </c>
      <c r="BO36" s="91" t="n">
        <f aca="false">IF(SUMPRODUCT(($A$2:$A37=A37)*($N$2:$N37=N37))&gt;1,0,1)</f>
        <v>1</v>
      </c>
    </row>
    <row r="37" customFormat="false" ht="15" hidden="false" customHeight="false" outlineLevel="0" collapsed="false">
      <c r="A37" s="83" t="s">
        <v>97</v>
      </c>
      <c r="B37" s="83" t="s">
        <v>98</v>
      </c>
      <c r="C37" s="83" t="s">
        <v>99</v>
      </c>
      <c r="D37" s="83" t="s">
        <v>100</v>
      </c>
      <c r="E37" s="83" t="s">
        <v>101</v>
      </c>
      <c r="F37" s="83" t="s">
        <v>102</v>
      </c>
      <c r="G37" s="84" t="s">
        <v>103</v>
      </c>
      <c r="H37" s="85" t="n">
        <f aca="false">IFERROR(--REPLACE(SUBSTITUTE(G37,"T"," "),LEN(G37)-6,6,""),"")</f>
        <v>45444</v>
      </c>
      <c r="I37" s="84" t="s">
        <v>104</v>
      </c>
      <c r="J37" s="85" t="n">
        <f aca="false">IFERROR(--REPLACE(SUBSTITUTE(I37,"T"," "),LEN(I37)-6,6,""),"")</f>
        <v>45809</v>
      </c>
      <c r="K37" s="83"/>
      <c r="L37" s="83" t="s">
        <v>105</v>
      </c>
      <c r="M37" s="83" t="s">
        <v>106</v>
      </c>
      <c r="N37" s="83" t="s">
        <v>391</v>
      </c>
      <c r="O37" s="83" t="s">
        <v>146</v>
      </c>
      <c r="P37" s="83" t="s">
        <v>147</v>
      </c>
      <c r="Q37" s="84" t="s">
        <v>392</v>
      </c>
      <c r="R37" s="85" t="n">
        <f aca="false">IFERROR(--REPLACE(SUBSTITUTE(Q37,"T"," "),LEN(Q37)-6,6,""),"")</f>
        <v>45542</v>
      </c>
      <c r="S37" s="83" t="s">
        <v>111</v>
      </c>
      <c r="T37" s="86" t="n">
        <v>0</v>
      </c>
      <c r="U37" s="86" t="n">
        <v>1202.63</v>
      </c>
      <c r="V37" s="86" t="n">
        <v>1202.63</v>
      </c>
      <c r="W37" s="86" t="n">
        <v>228</v>
      </c>
      <c r="X37" s="86" t="n">
        <v>0</v>
      </c>
      <c r="Y37" s="86" t="n">
        <v>0</v>
      </c>
      <c r="Z37" s="86" t="n">
        <v>0</v>
      </c>
      <c r="AA37" s="86" t="n">
        <v>0</v>
      </c>
      <c r="AB37" s="86"/>
      <c r="AC37" s="86" t="n">
        <v>228</v>
      </c>
      <c r="AD37" s="86" t="n">
        <v>228</v>
      </c>
      <c r="AE37" s="86" t="n">
        <v>0</v>
      </c>
      <c r="AF37" s="87"/>
      <c r="AG37" s="87" t="s">
        <v>393</v>
      </c>
      <c r="AH37" s="87" t="s">
        <v>394</v>
      </c>
      <c r="AI37" s="87" t="s">
        <v>395</v>
      </c>
      <c r="AJ37" s="87"/>
      <c r="AK37" s="87"/>
      <c r="AL37" s="87"/>
      <c r="AM37" s="87"/>
      <c r="AN37" s="84" t="s">
        <v>396</v>
      </c>
      <c r="AO37" s="85" t="n">
        <f aca="false">IFERROR(--REPLACE(SUBSTITUTE(AN37,"T"," "),LEN(AN37)-6,6,""),"")</f>
        <v>45544</v>
      </c>
      <c r="AP37" s="83" t="s">
        <v>116</v>
      </c>
      <c r="AQ37" s="84" t="s">
        <v>397</v>
      </c>
      <c r="AR37" s="85" t="n">
        <f aca="false">IFERROR(--REPLACE(SUBSTITUTE(AQ37,"T"," "),LEN(AQ37)-6,6,""),"")</f>
        <v>45694</v>
      </c>
      <c r="AS37" s="83" t="s">
        <v>398</v>
      </c>
      <c r="AT37" s="83" t="s">
        <v>399</v>
      </c>
      <c r="AU37" s="83" t="s">
        <v>320</v>
      </c>
      <c r="AV37" s="83"/>
      <c r="AW37" s="88"/>
      <c r="AX37" s="88"/>
      <c r="AY37" s="83"/>
      <c r="AZ37" s="83"/>
      <c r="BA37" s="83"/>
      <c r="BB37" s="83"/>
      <c r="BC37" s="83"/>
      <c r="BD37" s="83" t="s">
        <v>400</v>
      </c>
      <c r="BE37" s="83" t="s">
        <v>401</v>
      </c>
      <c r="BF37" s="83" t="s">
        <v>123</v>
      </c>
      <c r="BG37" s="88" t="s">
        <v>124</v>
      </c>
      <c r="BH37" s="88" t="s">
        <v>125</v>
      </c>
      <c r="BI37" s="88" t="s">
        <v>125</v>
      </c>
      <c r="BJ37" s="88" t="s">
        <v>126</v>
      </c>
      <c r="BK37" s="83" t="s">
        <v>127</v>
      </c>
      <c r="BL37" s="89" t="n">
        <v>2024</v>
      </c>
      <c r="BM37" s="90" t="n">
        <v>0</v>
      </c>
      <c r="BN37" s="83" t="s">
        <v>402</v>
      </c>
      <c r="BO37" s="91" t="n">
        <f aca="false">IF(SUMPRODUCT(($A$2:$A38=A38)*($N$2:$N38=N38))&gt;1,0,1)</f>
        <v>0</v>
      </c>
    </row>
    <row r="38" customFormat="false" ht="15" hidden="false" customHeight="false" outlineLevel="0" collapsed="false">
      <c r="A38" s="83" t="s">
        <v>97</v>
      </c>
      <c r="B38" s="83" t="s">
        <v>98</v>
      </c>
      <c r="C38" s="83" t="s">
        <v>99</v>
      </c>
      <c r="D38" s="83" t="s">
        <v>100</v>
      </c>
      <c r="E38" s="83" t="s">
        <v>101</v>
      </c>
      <c r="F38" s="83" t="s">
        <v>102</v>
      </c>
      <c r="G38" s="84" t="s">
        <v>103</v>
      </c>
      <c r="H38" s="85" t="n">
        <f aca="false">IFERROR(--REPLACE(SUBSTITUTE(G38,"T"," "),LEN(G38)-6,6,""),"")</f>
        <v>45444</v>
      </c>
      <c r="I38" s="84" t="s">
        <v>104</v>
      </c>
      <c r="J38" s="85" t="n">
        <f aca="false">IFERROR(--REPLACE(SUBSTITUTE(I38,"T"," "),LEN(I38)-6,6,""),"")</f>
        <v>45809</v>
      </c>
      <c r="K38" s="83"/>
      <c r="L38" s="83" t="s">
        <v>105</v>
      </c>
      <c r="M38" s="83" t="s">
        <v>106</v>
      </c>
      <c r="N38" s="83" t="s">
        <v>107</v>
      </c>
      <c r="O38" s="83" t="s">
        <v>146</v>
      </c>
      <c r="P38" s="83" t="s">
        <v>147</v>
      </c>
      <c r="Q38" s="84" t="s">
        <v>110</v>
      </c>
      <c r="R38" s="85" t="n">
        <f aca="false">IFERROR(--REPLACE(SUBSTITUTE(Q38,"T"," "),LEN(Q38)-6,6,""),"")</f>
        <v>45450</v>
      </c>
      <c r="S38" s="83" t="s">
        <v>111</v>
      </c>
      <c r="T38" s="86" t="n">
        <v>0</v>
      </c>
      <c r="U38" s="86" t="n">
        <v>1214.2</v>
      </c>
      <c r="V38" s="86" t="n">
        <v>1214.2</v>
      </c>
      <c r="W38" s="86" t="n">
        <v>112.7</v>
      </c>
      <c r="X38" s="86" t="n">
        <v>0</v>
      </c>
      <c r="Y38" s="86" t="n">
        <v>0</v>
      </c>
      <c r="Z38" s="86" t="n">
        <v>0</v>
      </c>
      <c r="AA38" s="86" t="n">
        <v>0</v>
      </c>
      <c r="AB38" s="86"/>
      <c r="AC38" s="86" t="n">
        <v>112.7</v>
      </c>
      <c r="AD38" s="86" t="n">
        <v>112.7</v>
      </c>
      <c r="AE38" s="86" t="n">
        <v>0</v>
      </c>
      <c r="AF38" s="87"/>
      <c r="AG38" s="87" t="s">
        <v>112</v>
      </c>
      <c r="AH38" s="87" t="s">
        <v>113</v>
      </c>
      <c r="AI38" s="87" t="s">
        <v>114</v>
      </c>
      <c r="AJ38" s="87"/>
      <c r="AK38" s="87"/>
      <c r="AL38" s="87"/>
      <c r="AM38" s="87"/>
      <c r="AN38" s="84" t="s">
        <v>115</v>
      </c>
      <c r="AO38" s="85" t="n">
        <f aca="false">IFERROR(--REPLACE(SUBSTITUTE(AN38,"T"," "),LEN(AN38)-6,6,""),"")</f>
        <v>45453</v>
      </c>
      <c r="AP38" s="83" t="s">
        <v>116</v>
      </c>
      <c r="AQ38" s="84" t="s">
        <v>117</v>
      </c>
      <c r="AR38" s="85" t="n">
        <f aca="false">IFERROR(--REPLACE(SUBSTITUTE(AQ38,"T"," "),LEN(AQ38)-6,6,""),"")</f>
        <v>45695</v>
      </c>
      <c r="AS38" s="83" t="s">
        <v>118</v>
      </c>
      <c r="AT38" s="83" t="s">
        <v>119</v>
      </c>
      <c r="AU38" s="83" t="s">
        <v>120</v>
      </c>
      <c r="AV38" s="83"/>
      <c r="AW38" s="88"/>
      <c r="AX38" s="88"/>
      <c r="AY38" s="83"/>
      <c r="AZ38" s="83"/>
      <c r="BA38" s="83"/>
      <c r="BB38" s="83"/>
      <c r="BC38" s="83"/>
      <c r="BD38" s="83" t="s">
        <v>121</v>
      </c>
      <c r="BE38" s="83" t="s">
        <v>122</v>
      </c>
      <c r="BF38" s="83" t="s">
        <v>123</v>
      </c>
      <c r="BG38" s="88" t="s">
        <v>124</v>
      </c>
      <c r="BH38" s="88" t="s">
        <v>125</v>
      </c>
      <c r="BI38" s="88" t="s">
        <v>125</v>
      </c>
      <c r="BJ38" s="88" t="s">
        <v>126</v>
      </c>
      <c r="BK38" s="83" t="s">
        <v>127</v>
      </c>
      <c r="BL38" s="89" t="n">
        <v>2024</v>
      </c>
      <c r="BM38" s="90" t="n">
        <v>0</v>
      </c>
      <c r="BN38" s="83" t="s">
        <v>403</v>
      </c>
      <c r="BO38" s="91" t="n">
        <f aca="false">IF(SUMPRODUCT(($A$2:$A39=A39)*($N$2:$N39=N39))&gt;1,0,1)</f>
        <v>1</v>
      </c>
    </row>
    <row r="39" customFormat="false" ht="15" hidden="false" customHeight="false" outlineLevel="0" collapsed="false">
      <c r="A39" s="83" t="s">
        <v>97</v>
      </c>
      <c r="B39" s="83" t="s">
        <v>98</v>
      </c>
      <c r="C39" s="83"/>
      <c r="D39" s="83" t="s">
        <v>170</v>
      </c>
      <c r="E39" s="83" t="s">
        <v>171</v>
      </c>
      <c r="F39" s="83" t="s">
        <v>108</v>
      </c>
      <c r="G39" s="84" t="s">
        <v>104</v>
      </c>
      <c r="H39" s="85" t="n">
        <f aca="false">IFERROR(--REPLACE(SUBSTITUTE(G39,"T"," "),LEN(G39)-6,6,""),"")</f>
        <v>45809</v>
      </c>
      <c r="I39" s="84" t="s">
        <v>144</v>
      </c>
      <c r="J39" s="85" t="n">
        <f aca="false">IFERROR(--REPLACE(SUBSTITUTE(I39,"T"," "),LEN(I39)-6,6,""),"")</f>
        <v>46174</v>
      </c>
      <c r="K39" s="83"/>
      <c r="L39" s="83" t="s">
        <v>105</v>
      </c>
      <c r="M39" s="83" t="s">
        <v>106</v>
      </c>
      <c r="N39" s="83" t="s">
        <v>404</v>
      </c>
      <c r="O39" s="83" t="s">
        <v>108</v>
      </c>
      <c r="P39" s="83" t="s">
        <v>405</v>
      </c>
      <c r="Q39" s="84" t="s">
        <v>406</v>
      </c>
      <c r="R39" s="85" t="n">
        <f aca="false">IFERROR(--REPLACE(SUBSTITUTE(Q39,"T"," "),LEN(Q39)-6,6,""),"")</f>
        <v>46097</v>
      </c>
      <c r="S39" s="83" t="s">
        <v>111</v>
      </c>
      <c r="T39" s="86" t="n">
        <v>0</v>
      </c>
      <c r="U39" s="86" t="n">
        <v>1225.45</v>
      </c>
      <c r="V39" s="86" t="n">
        <v>1225.45</v>
      </c>
      <c r="W39" s="86" t="n">
        <v>0</v>
      </c>
      <c r="X39" s="86" t="n">
        <v>0</v>
      </c>
      <c r="Y39" s="86" t="n">
        <v>0</v>
      </c>
      <c r="Z39" s="86" t="n">
        <v>0</v>
      </c>
      <c r="AA39" s="86" t="n">
        <v>0</v>
      </c>
      <c r="AB39" s="86"/>
      <c r="AC39" s="86" t="n">
        <v>0</v>
      </c>
      <c r="AD39" s="86" t="n">
        <v>0</v>
      </c>
      <c r="AE39" s="86" t="n">
        <v>0</v>
      </c>
      <c r="AF39" s="87"/>
      <c r="AG39" s="87" t="s">
        <v>381</v>
      </c>
      <c r="AH39" s="87" t="s">
        <v>382</v>
      </c>
      <c r="AI39" s="87" t="s">
        <v>177</v>
      </c>
      <c r="AJ39" s="87"/>
      <c r="AK39" s="87"/>
      <c r="AL39" s="87"/>
      <c r="AM39" s="87"/>
      <c r="AN39" s="84" t="s">
        <v>407</v>
      </c>
      <c r="AO39" s="85" t="n">
        <f aca="false">IFERROR(--REPLACE(SUBSTITUTE(AN39,"T"," "),LEN(AN39)-6,6,""),"")</f>
        <v>46105</v>
      </c>
      <c r="AP39" s="83" t="s">
        <v>116</v>
      </c>
      <c r="AQ39" s="84" t="s">
        <v>408</v>
      </c>
      <c r="AR39" s="85" t="n">
        <f aca="false">IFERROR(--REPLACE(SUBSTITUTE(AQ39,"T"," "),LEN(AQ39)-6,6,""),"")</f>
        <v>46135</v>
      </c>
      <c r="AS39" s="83" t="s">
        <v>409</v>
      </c>
      <c r="AT39" s="83"/>
      <c r="AU39" s="83" t="s">
        <v>139</v>
      </c>
      <c r="AV39" s="83"/>
      <c r="AW39" s="88"/>
      <c r="AX39" s="88"/>
      <c r="AY39" s="83"/>
      <c r="AZ39" s="83"/>
      <c r="BA39" s="83"/>
      <c r="BB39" s="83"/>
      <c r="BC39" s="83"/>
      <c r="BD39" s="83" t="s">
        <v>368</v>
      </c>
      <c r="BE39" s="83" t="s">
        <v>369</v>
      </c>
      <c r="BF39" s="83" t="s">
        <v>123</v>
      </c>
      <c r="BG39" s="88" t="s">
        <v>124</v>
      </c>
      <c r="BH39" s="88" t="s">
        <v>125</v>
      </c>
      <c r="BI39" s="88" t="s">
        <v>125</v>
      </c>
      <c r="BJ39" s="88" t="s">
        <v>126</v>
      </c>
      <c r="BK39" s="83" t="s">
        <v>343</v>
      </c>
      <c r="BL39" s="89" t="n">
        <v>2025</v>
      </c>
      <c r="BM39" s="90" t="n">
        <v>0</v>
      </c>
      <c r="BN39" s="83" t="s">
        <v>410</v>
      </c>
      <c r="BO39" s="91" t="n">
        <f aca="false">IF(SUMPRODUCT(($A$2:$A40=A40)*($N$2:$N40=N40))&gt;1,0,1)</f>
        <v>1</v>
      </c>
    </row>
    <row r="40" customFormat="false" ht="15" hidden="false" customHeight="false" outlineLevel="0" collapsed="false">
      <c r="A40" s="83" t="s">
        <v>97</v>
      </c>
      <c r="B40" s="83" t="s">
        <v>98</v>
      </c>
      <c r="C40" s="83"/>
      <c r="D40" s="83" t="s">
        <v>170</v>
      </c>
      <c r="E40" s="83" t="s">
        <v>171</v>
      </c>
      <c r="F40" s="83" t="s">
        <v>108</v>
      </c>
      <c r="G40" s="84" t="s">
        <v>104</v>
      </c>
      <c r="H40" s="85" t="n">
        <f aca="false">IFERROR(--REPLACE(SUBSTITUTE(G40,"T"," "),LEN(G40)-6,6,""),"")</f>
        <v>45809</v>
      </c>
      <c r="I40" s="84" t="s">
        <v>144</v>
      </c>
      <c r="J40" s="85" t="n">
        <f aca="false">IFERROR(--REPLACE(SUBSTITUTE(I40,"T"," "),LEN(I40)-6,6,""),"")</f>
        <v>46174</v>
      </c>
      <c r="K40" s="83"/>
      <c r="L40" s="83" t="s">
        <v>105</v>
      </c>
      <c r="M40" s="83" t="s">
        <v>106</v>
      </c>
      <c r="N40" s="83" t="s">
        <v>411</v>
      </c>
      <c r="O40" s="83" t="s">
        <v>108</v>
      </c>
      <c r="P40" s="83" t="s">
        <v>379</v>
      </c>
      <c r="Q40" s="84" t="s">
        <v>412</v>
      </c>
      <c r="R40" s="85" t="n">
        <f aca="false">IFERROR(--REPLACE(SUBSTITUTE(Q40,"T"," "),LEN(Q40)-6,6,""),"")</f>
        <v>45835</v>
      </c>
      <c r="S40" s="83" t="s">
        <v>111</v>
      </c>
      <c r="T40" s="86" t="n">
        <v>0</v>
      </c>
      <c r="U40" s="86" t="n">
        <v>1257.27</v>
      </c>
      <c r="V40" s="86" t="n">
        <v>1257.27</v>
      </c>
      <c r="W40" s="86" t="n">
        <v>0</v>
      </c>
      <c r="X40" s="86" t="n">
        <v>0</v>
      </c>
      <c r="Y40" s="86" t="n">
        <v>0</v>
      </c>
      <c r="Z40" s="86" t="n">
        <v>0</v>
      </c>
      <c r="AA40" s="86" t="n">
        <v>0</v>
      </c>
      <c r="AB40" s="86"/>
      <c r="AC40" s="86" t="n">
        <v>0</v>
      </c>
      <c r="AD40" s="86" t="n">
        <v>0</v>
      </c>
      <c r="AE40" s="86" t="n">
        <v>0</v>
      </c>
      <c r="AF40" s="87"/>
      <c r="AG40" s="87" t="s">
        <v>413</v>
      </c>
      <c r="AH40" s="87" t="s">
        <v>414</v>
      </c>
      <c r="AI40" s="87" t="s">
        <v>415</v>
      </c>
      <c r="AJ40" s="87"/>
      <c r="AK40" s="87"/>
      <c r="AL40" s="87"/>
      <c r="AM40" s="87"/>
      <c r="AN40" s="84" t="s">
        <v>416</v>
      </c>
      <c r="AO40" s="85" t="n">
        <f aca="false">IFERROR(--REPLACE(SUBSTITUTE(AN40,"T"," "),LEN(AN40)-6,6,""),"")</f>
        <v>45862</v>
      </c>
      <c r="AP40" s="83" t="s">
        <v>116</v>
      </c>
      <c r="AQ40" s="84" t="s">
        <v>417</v>
      </c>
      <c r="AR40" s="85" t="n">
        <f aca="false">IFERROR(--REPLACE(SUBSTITUTE(AQ40,"T"," "),LEN(AQ40)-6,6,""),"")</f>
        <v>45889</v>
      </c>
      <c r="AS40" s="83" t="s">
        <v>98</v>
      </c>
      <c r="AT40" s="83"/>
      <c r="AU40" s="83" t="s">
        <v>120</v>
      </c>
      <c r="AV40" s="83"/>
      <c r="AW40" s="88" t="s">
        <v>125</v>
      </c>
      <c r="AX40" s="88" t="s">
        <v>418</v>
      </c>
      <c r="AY40" s="83" t="s">
        <v>349</v>
      </c>
      <c r="AZ40" s="83" t="s">
        <v>419</v>
      </c>
      <c r="BA40" s="83" t="s">
        <v>420</v>
      </c>
      <c r="BB40" s="83"/>
      <c r="BC40" s="83" t="s">
        <v>111</v>
      </c>
      <c r="BD40" s="83" t="s">
        <v>388</v>
      </c>
      <c r="BE40" s="83" t="s">
        <v>389</v>
      </c>
      <c r="BF40" s="83" t="s">
        <v>123</v>
      </c>
      <c r="BG40" s="88" t="s">
        <v>124</v>
      </c>
      <c r="BH40" s="88" t="s">
        <v>125</v>
      </c>
      <c r="BI40" s="88" t="s">
        <v>125</v>
      </c>
      <c r="BJ40" s="88" t="s">
        <v>126</v>
      </c>
      <c r="BK40" s="83" t="s">
        <v>343</v>
      </c>
      <c r="BL40" s="89" t="n">
        <v>2025</v>
      </c>
      <c r="BM40" s="90" t="n">
        <v>0</v>
      </c>
      <c r="BN40" s="83" t="s">
        <v>421</v>
      </c>
      <c r="BO40" s="91" t="n">
        <f aca="false">IF(SUMPRODUCT(($A$2:$A41=A41)*($N$2:$N41=N41))&gt;1,0,1)</f>
        <v>1</v>
      </c>
    </row>
    <row r="41" customFormat="false" ht="15" hidden="false" customHeight="false" outlineLevel="0" collapsed="false">
      <c r="A41" s="83" t="s">
        <v>97</v>
      </c>
      <c r="B41" s="83" t="s">
        <v>98</v>
      </c>
      <c r="C41" s="83"/>
      <c r="D41" s="83" t="s">
        <v>170</v>
      </c>
      <c r="E41" s="83" t="s">
        <v>171</v>
      </c>
      <c r="F41" s="83" t="s">
        <v>108</v>
      </c>
      <c r="G41" s="84" t="s">
        <v>104</v>
      </c>
      <c r="H41" s="85" t="n">
        <f aca="false">IFERROR(--REPLACE(SUBSTITUTE(G41,"T"," "),LEN(G41)-6,6,""),"")</f>
        <v>45809</v>
      </c>
      <c r="I41" s="84" t="s">
        <v>144</v>
      </c>
      <c r="J41" s="85" t="n">
        <f aca="false">IFERROR(--REPLACE(SUBSTITUTE(I41,"T"," "),LEN(I41)-6,6,""),"")</f>
        <v>46174</v>
      </c>
      <c r="K41" s="83"/>
      <c r="L41" s="83" t="s">
        <v>105</v>
      </c>
      <c r="M41" s="83" t="s">
        <v>106</v>
      </c>
      <c r="N41" s="83" t="s">
        <v>422</v>
      </c>
      <c r="O41" s="83" t="s">
        <v>108</v>
      </c>
      <c r="P41" s="83" t="s">
        <v>379</v>
      </c>
      <c r="Q41" s="84" t="s">
        <v>423</v>
      </c>
      <c r="R41" s="85" t="n">
        <f aca="false">IFERROR(--REPLACE(SUBSTITUTE(Q41,"T"," "),LEN(Q41)-6,6,""),"")</f>
        <v>45836</v>
      </c>
      <c r="S41" s="83" t="s">
        <v>111</v>
      </c>
      <c r="T41" s="86" t="n">
        <v>0</v>
      </c>
      <c r="U41" s="86" t="n">
        <v>1351.36</v>
      </c>
      <c r="V41" s="86" t="n">
        <v>1351.36</v>
      </c>
      <c r="W41" s="86" t="n">
        <v>13.75</v>
      </c>
      <c r="X41" s="86" t="n">
        <v>0</v>
      </c>
      <c r="Y41" s="86" t="n">
        <v>0</v>
      </c>
      <c r="Z41" s="86" t="n">
        <v>0</v>
      </c>
      <c r="AA41" s="86" t="n">
        <v>0</v>
      </c>
      <c r="AB41" s="86"/>
      <c r="AC41" s="86" t="n">
        <v>13.75</v>
      </c>
      <c r="AD41" s="86" t="n">
        <v>13.75</v>
      </c>
      <c r="AE41" s="86" t="n">
        <v>0</v>
      </c>
      <c r="AF41" s="87"/>
      <c r="AG41" s="87" t="s">
        <v>424</v>
      </c>
      <c r="AH41" s="87" t="s">
        <v>425</v>
      </c>
      <c r="AI41" s="87" t="s">
        <v>177</v>
      </c>
      <c r="AJ41" s="87"/>
      <c r="AK41" s="87"/>
      <c r="AL41" s="87"/>
      <c r="AM41" s="87"/>
      <c r="AN41" s="84" t="s">
        <v>426</v>
      </c>
      <c r="AO41" s="85" t="n">
        <f aca="false">IFERROR(--REPLACE(SUBSTITUTE(AN41,"T"," "),LEN(AN41)-6,6,""),"")</f>
        <v>45838</v>
      </c>
      <c r="AP41" s="83" t="s">
        <v>116</v>
      </c>
      <c r="AQ41" s="84" t="s">
        <v>427</v>
      </c>
      <c r="AR41" s="85" t="n">
        <f aca="false">IFERROR(--REPLACE(SUBSTITUTE(AQ41,"T"," "),LEN(AQ41)-6,6,""),"")</f>
        <v>45863</v>
      </c>
      <c r="AS41" s="83" t="s">
        <v>98</v>
      </c>
      <c r="AT41" s="83"/>
      <c r="AU41" s="83" t="s">
        <v>320</v>
      </c>
      <c r="AV41" s="83"/>
      <c r="AW41" s="88" t="s">
        <v>125</v>
      </c>
      <c r="AX41" s="88" t="s">
        <v>385</v>
      </c>
      <c r="AY41" s="83" t="s">
        <v>349</v>
      </c>
      <c r="AZ41" s="83" t="s">
        <v>350</v>
      </c>
      <c r="BA41" s="83" t="s">
        <v>428</v>
      </c>
      <c r="BB41" s="83" t="s">
        <v>429</v>
      </c>
      <c r="BC41" s="83" t="s">
        <v>111</v>
      </c>
      <c r="BD41" s="83" t="s">
        <v>430</v>
      </c>
      <c r="BE41" s="83" t="s">
        <v>431</v>
      </c>
      <c r="BF41" s="83" t="s">
        <v>123</v>
      </c>
      <c r="BG41" s="88" t="s">
        <v>124</v>
      </c>
      <c r="BH41" s="88" t="s">
        <v>125</v>
      </c>
      <c r="BI41" s="88" t="s">
        <v>125</v>
      </c>
      <c r="BJ41" s="88" t="s">
        <v>126</v>
      </c>
      <c r="BK41" s="83" t="s">
        <v>343</v>
      </c>
      <c r="BL41" s="89" t="n">
        <v>2025</v>
      </c>
      <c r="BM41" s="90" t="n">
        <v>0</v>
      </c>
      <c r="BN41" s="83" t="s">
        <v>432</v>
      </c>
      <c r="BO41" s="91" t="n">
        <f aca="false">IF(SUMPRODUCT(($A$2:$A42=A42)*($N$2:$N42=N42))&gt;1,0,1)</f>
        <v>1</v>
      </c>
    </row>
    <row r="42" customFormat="false" ht="15" hidden="false" customHeight="false" outlineLevel="0" collapsed="false">
      <c r="A42" s="83" t="s">
        <v>97</v>
      </c>
      <c r="B42" s="83" t="s">
        <v>98</v>
      </c>
      <c r="C42" s="83"/>
      <c r="D42" s="83" t="s">
        <v>170</v>
      </c>
      <c r="E42" s="83" t="s">
        <v>171</v>
      </c>
      <c r="F42" s="83" t="s">
        <v>102</v>
      </c>
      <c r="G42" s="84" t="s">
        <v>103</v>
      </c>
      <c r="H42" s="85" t="n">
        <f aca="false">IFERROR(--REPLACE(SUBSTITUTE(G42,"T"," "),LEN(G42)-6,6,""),"")</f>
        <v>45444</v>
      </c>
      <c r="I42" s="84" t="s">
        <v>104</v>
      </c>
      <c r="J42" s="85" t="n">
        <f aca="false">IFERROR(--REPLACE(SUBSTITUTE(I42,"T"," "),LEN(I42)-6,6,""),"")</f>
        <v>45809</v>
      </c>
      <c r="K42" s="83"/>
      <c r="L42" s="83" t="s">
        <v>105</v>
      </c>
      <c r="M42" s="83" t="s">
        <v>106</v>
      </c>
      <c r="N42" s="83" t="s">
        <v>433</v>
      </c>
      <c r="O42" s="83" t="s">
        <v>108</v>
      </c>
      <c r="P42" s="83" t="s">
        <v>173</v>
      </c>
      <c r="Q42" s="84" t="s">
        <v>434</v>
      </c>
      <c r="R42" s="85" t="n">
        <f aca="false">IFERROR(--REPLACE(SUBSTITUTE(Q42,"T"," "),LEN(Q42)-6,6,""),"")</f>
        <v>45526</v>
      </c>
      <c r="S42" s="83" t="s">
        <v>111</v>
      </c>
      <c r="T42" s="86" t="n">
        <v>0</v>
      </c>
      <c r="U42" s="86" t="n">
        <v>3016.15</v>
      </c>
      <c r="V42" s="86" t="n">
        <v>3016.15</v>
      </c>
      <c r="W42" s="86" t="n">
        <v>0</v>
      </c>
      <c r="X42" s="86" t="n">
        <v>0</v>
      </c>
      <c r="Y42" s="86" t="n">
        <v>0</v>
      </c>
      <c r="Z42" s="86" t="n">
        <v>0</v>
      </c>
      <c r="AA42" s="86" t="n">
        <v>0</v>
      </c>
      <c r="AB42" s="86"/>
      <c r="AC42" s="86" t="n">
        <v>0</v>
      </c>
      <c r="AD42" s="86" t="n">
        <v>0</v>
      </c>
      <c r="AE42" s="86" t="n">
        <v>0</v>
      </c>
      <c r="AF42" s="87"/>
      <c r="AG42" s="87" t="s">
        <v>175</v>
      </c>
      <c r="AH42" s="87" t="s">
        <v>435</v>
      </c>
      <c r="AI42" s="87" t="s">
        <v>177</v>
      </c>
      <c r="AJ42" s="87"/>
      <c r="AK42" s="87"/>
      <c r="AL42" s="87"/>
      <c r="AM42" s="87"/>
      <c r="AN42" s="84" t="s">
        <v>436</v>
      </c>
      <c r="AO42" s="85" t="n">
        <f aca="false">IFERROR(--REPLACE(SUBSTITUTE(AN42,"T"," "),LEN(AN42)-6,6,""),"")</f>
        <v>45531</v>
      </c>
      <c r="AP42" s="83" t="s">
        <v>116</v>
      </c>
      <c r="AQ42" s="84" t="s">
        <v>220</v>
      </c>
      <c r="AR42" s="85" t="n">
        <f aca="false">IFERROR(--REPLACE(SUBSTITUTE(AQ42,"T"," "),LEN(AQ42)-6,6,""),"")</f>
        <v>45581</v>
      </c>
      <c r="AS42" s="83" t="s">
        <v>98</v>
      </c>
      <c r="AT42" s="83"/>
      <c r="AU42" s="83" t="s">
        <v>234</v>
      </c>
      <c r="AV42" s="83"/>
      <c r="AW42" s="88" t="s">
        <v>125</v>
      </c>
      <c r="AX42" s="88" t="s">
        <v>201</v>
      </c>
      <c r="AY42" s="83" t="s">
        <v>202</v>
      </c>
      <c r="AZ42" s="83" t="s">
        <v>437</v>
      </c>
      <c r="BA42" s="83" t="s">
        <v>204</v>
      </c>
      <c r="BB42" s="83"/>
      <c r="BC42" s="83"/>
      <c r="BD42" s="83" t="s">
        <v>368</v>
      </c>
      <c r="BE42" s="83" t="s">
        <v>369</v>
      </c>
      <c r="BF42" s="83" t="s">
        <v>123</v>
      </c>
      <c r="BG42" s="88" t="s">
        <v>124</v>
      </c>
      <c r="BH42" s="88" t="s">
        <v>125</v>
      </c>
      <c r="BI42" s="88" t="s">
        <v>125</v>
      </c>
      <c r="BJ42" s="88" t="s">
        <v>126</v>
      </c>
      <c r="BK42" s="83" t="s">
        <v>186</v>
      </c>
      <c r="BL42" s="89" t="n">
        <v>2024</v>
      </c>
      <c r="BM42" s="90" t="n">
        <v>0</v>
      </c>
      <c r="BN42" s="83" t="s">
        <v>438</v>
      </c>
      <c r="BO42" s="91" t="n">
        <f aca="false">IF(SUMPRODUCT(($A$2:$A43=A43)*($N$2:$N43=N43))&gt;1,0,1)</f>
        <v>1</v>
      </c>
    </row>
    <row r="43" customFormat="false" ht="15" hidden="false" customHeight="false" outlineLevel="0" collapsed="false">
      <c r="A43" s="83" t="s">
        <v>97</v>
      </c>
      <c r="B43" s="83" t="s">
        <v>98</v>
      </c>
      <c r="C43" s="83"/>
      <c r="D43" s="83" t="s">
        <v>170</v>
      </c>
      <c r="E43" s="83" t="s">
        <v>171</v>
      </c>
      <c r="F43" s="83" t="s">
        <v>108</v>
      </c>
      <c r="G43" s="84" t="s">
        <v>104</v>
      </c>
      <c r="H43" s="85" t="n">
        <f aca="false">IFERROR(--REPLACE(SUBSTITUTE(G43,"T"," "),LEN(G43)-6,6,""),"")</f>
        <v>45809</v>
      </c>
      <c r="I43" s="84" t="s">
        <v>144</v>
      </c>
      <c r="J43" s="85" t="n">
        <f aca="false">IFERROR(--REPLACE(SUBSTITUTE(I43,"T"," "),LEN(I43)-6,6,""),"")</f>
        <v>46174</v>
      </c>
      <c r="K43" s="83"/>
      <c r="L43" s="83" t="s">
        <v>105</v>
      </c>
      <c r="M43" s="83" t="s">
        <v>106</v>
      </c>
      <c r="N43" s="83" t="s">
        <v>439</v>
      </c>
      <c r="O43" s="83" t="s">
        <v>108</v>
      </c>
      <c r="P43" s="83" t="s">
        <v>405</v>
      </c>
      <c r="Q43" s="84" t="s">
        <v>440</v>
      </c>
      <c r="R43" s="85" t="n">
        <f aca="false">IFERROR(--REPLACE(SUBSTITUTE(Q43,"T"," "),LEN(Q43)-6,6,""),"")</f>
        <v>45926</v>
      </c>
      <c r="S43" s="83" t="s">
        <v>111</v>
      </c>
      <c r="T43" s="86" t="n">
        <v>0</v>
      </c>
      <c r="U43" s="86" t="n">
        <v>3077.62</v>
      </c>
      <c r="V43" s="86" t="n">
        <v>3077.62</v>
      </c>
      <c r="W43" s="86" t="n">
        <v>0</v>
      </c>
      <c r="X43" s="86" t="n">
        <v>0</v>
      </c>
      <c r="Y43" s="86" t="n">
        <v>0</v>
      </c>
      <c r="Z43" s="86" t="n">
        <v>0</v>
      </c>
      <c r="AA43" s="86" t="n">
        <v>0</v>
      </c>
      <c r="AB43" s="86"/>
      <c r="AC43" s="86" t="n">
        <v>0</v>
      </c>
      <c r="AD43" s="86" t="n">
        <v>0</v>
      </c>
      <c r="AE43" s="86" t="n">
        <v>0</v>
      </c>
      <c r="AF43" s="87"/>
      <c r="AG43" s="87" t="s">
        <v>441</v>
      </c>
      <c r="AH43" s="87" t="s">
        <v>442</v>
      </c>
      <c r="AI43" s="87" t="s">
        <v>443</v>
      </c>
      <c r="AJ43" s="87"/>
      <c r="AK43" s="87"/>
      <c r="AL43" s="87"/>
      <c r="AM43" s="87"/>
      <c r="AN43" s="84" t="s">
        <v>444</v>
      </c>
      <c r="AO43" s="85" t="n">
        <f aca="false">IFERROR(--REPLACE(SUBSTITUTE(AN43,"T"," "),LEN(AN43)-6,6,""),"")</f>
        <v>45931</v>
      </c>
      <c r="AP43" s="83" t="s">
        <v>116</v>
      </c>
      <c r="AQ43" s="84" t="s">
        <v>445</v>
      </c>
      <c r="AR43" s="85" t="n">
        <f aca="false">IFERROR(--REPLACE(SUBSTITUTE(AQ43,"T"," "),LEN(AQ43)-6,6,""),"")</f>
        <v>45973</v>
      </c>
      <c r="AS43" s="83" t="s">
        <v>446</v>
      </c>
      <c r="AT43" s="83"/>
      <c r="AU43" s="83" t="s">
        <v>120</v>
      </c>
      <c r="AV43" s="83"/>
      <c r="AW43" s="88"/>
      <c r="AX43" s="88"/>
      <c r="AY43" s="83"/>
      <c r="AZ43" s="83"/>
      <c r="BA43" s="83"/>
      <c r="BB43" s="83"/>
      <c r="BC43" s="83"/>
      <c r="BD43" s="83" t="s">
        <v>430</v>
      </c>
      <c r="BE43" s="83" t="s">
        <v>431</v>
      </c>
      <c r="BF43" s="83" t="s">
        <v>123</v>
      </c>
      <c r="BG43" s="88" t="s">
        <v>124</v>
      </c>
      <c r="BH43" s="88" t="s">
        <v>125</v>
      </c>
      <c r="BI43" s="88" t="s">
        <v>125</v>
      </c>
      <c r="BJ43" s="88" t="s">
        <v>126</v>
      </c>
      <c r="BK43" s="83" t="s">
        <v>343</v>
      </c>
      <c r="BL43" s="89" t="n">
        <v>2025</v>
      </c>
      <c r="BM43" s="90" t="n">
        <v>0</v>
      </c>
      <c r="BN43" s="83" t="s">
        <v>447</v>
      </c>
      <c r="BO43" s="91" t="n">
        <f aca="false">IF(SUMPRODUCT(($A$2:$A44=A44)*($N$2:$N44=N44))&gt;1,0,1)</f>
        <v>1</v>
      </c>
    </row>
    <row r="44" customFormat="false" ht="15" hidden="false" customHeight="false" outlineLevel="0" collapsed="false">
      <c r="A44" s="83" t="s">
        <v>97</v>
      </c>
      <c r="B44" s="83" t="s">
        <v>98</v>
      </c>
      <c r="C44" s="83"/>
      <c r="D44" s="83" t="s">
        <v>170</v>
      </c>
      <c r="E44" s="83" t="s">
        <v>171</v>
      </c>
      <c r="F44" s="83" t="s">
        <v>108</v>
      </c>
      <c r="G44" s="84" t="s">
        <v>104</v>
      </c>
      <c r="H44" s="85" t="n">
        <f aca="false">IFERROR(--REPLACE(SUBSTITUTE(G44,"T"," "),LEN(G44)-6,6,""),"")</f>
        <v>45809</v>
      </c>
      <c r="I44" s="84" t="s">
        <v>144</v>
      </c>
      <c r="J44" s="85" t="n">
        <f aca="false">IFERROR(--REPLACE(SUBSTITUTE(I44,"T"," "),LEN(I44)-6,6,""),"")</f>
        <v>46174</v>
      </c>
      <c r="K44" s="83"/>
      <c r="L44" s="83" t="s">
        <v>105</v>
      </c>
      <c r="M44" s="83" t="s">
        <v>106</v>
      </c>
      <c r="N44" s="83" t="s">
        <v>448</v>
      </c>
      <c r="O44" s="83" t="s">
        <v>108</v>
      </c>
      <c r="P44" s="83" t="s">
        <v>173</v>
      </c>
      <c r="Q44" s="84" t="s">
        <v>449</v>
      </c>
      <c r="R44" s="85" t="n">
        <f aca="false">IFERROR(--REPLACE(SUBSTITUTE(Q44,"T"," "),LEN(Q44)-6,6,""),"")</f>
        <v>46003</v>
      </c>
      <c r="S44" s="83" t="s">
        <v>111</v>
      </c>
      <c r="T44" s="86" t="n">
        <v>0</v>
      </c>
      <c r="U44" s="86" t="n">
        <v>7177.67</v>
      </c>
      <c r="V44" s="86" t="n">
        <v>7177.67</v>
      </c>
      <c r="W44" s="86" t="n">
        <v>0</v>
      </c>
      <c r="X44" s="86" t="n">
        <v>0</v>
      </c>
      <c r="Y44" s="86" t="n">
        <v>0</v>
      </c>
      <c r="Z44" s="86" t="n">
        <v>0</v>
      </c>
      <c r="AA44" s="86" t="n">
        <v>0</v>
      </c>
      <c r="AB44" s="86"/>
      <c r="AC44" s="86" t="n">
        <v>0</v>
      </c>
      <c r="AD44" s="86" t="n">
        <v>0</v>
      </c>
      <c r="AE44" s="86" t="n">
        <v>0</v>
      </c>
      <c r="AF44" s="87"/>
      <c r="AG44" s="87" t="s">
        <v>175</v>
      </c>
      <c r="AH44" s="87" t="s">
        <v>435</v>
      </c>
      <c r="AI44" s="87" t="s">
        <v>177</v>
      </c>
      <c r="AJ44" s="87"/>
      <c r="AK44" s="87"/>
      <c r="AL44" s="87"/>
      <c r="AM44" s="87"/>
      <c r="AN44" s="84" t="s">
        <v>450</v>
      </c>
      <c r="AO44" s="85" t="n">
        <f aca="false">IFERROR(--REPLACE(SUBSTITUTE(AN44,"T"," "),LEN(AN44)-6,6,""),"")</f>
        <v>46006</v>
      </c>
      <c r="AP44" s="83" t="s">
        <v>116</v>
      </c>
      <c r="AQ44" s="84" t="s">
        <v>451</v>
      </c>
      <c r="AR44" s="85" t="n">
        <f aca="false">IFERROR(--REPLACE(SUBSTITUTE(AQ44,"T"," "),LEN(AQ44)-6,6,""),"")</f>
        <v>46013</v>
      </c>
      <c r="AS44" s="83" t="s">
        <v>98</v>
      </c>
      <c r="AT44" s="83"/>
      <c r="AU44" s="83" t="s">
        <v>120</v>
      </c>
      <c r="AV44" s="83"/>
      <c r="AW44" s="88" t="s">
        <v>125</v>
      </c>
      <c r="AX44" s="88" t="s">
        <v>452</v>
      </c>
      <c r="AY44" s="83" t="s">
        <v>453</v>
      </c>
      <c r="AZ44" s="83" t="s">
        <v>454</v>
      </c>
      <c r="BA44" s="83" t="s">
        <v>455</v>
      </c>
      <c r="BB44" s="83"/>
      <c r="BC44" s="83" t="s">
        <v>111</v>
      </c>
      <c r="BD44" s="83" t="s">
        <v>430</v>
      </c>
      <c r="BE44" s="83" t="s">
        <v>431</v>
      </c>
      <c r="BF44" s="83" t="s">
        <v>123</v>
      </c>
      <c r="BG44" s="88" t="s">
        <v>124</v>
      </c>
      <c r="BH44" s="88" t="s">
        <v>125</v>
      </c>
      <c r="BI44" s="88" t="s">
        <v>125</v>
      </c>
      <c r="BJ44" s="88" t="s">
        <v>126</v>
      </c>
      <c r="BK44" s="83" t="s">
        <v>343</v>
      </c>
      <c r="BL44" s="89" t="n">
        <v>2025</v>
      </c>
      <c r="BM44" s="90" t="n">
        <v>0</v>
      </c>
      <c r="BN44" s="83" t="s">
        <v>456</v>
      </c>
      <c r="BO44" s="91" t="n">
        <f aca="false">IF(SUMPRODUCT(($A$2:$A45=A45)*($N$2:$N45=N45))&gt;1,0,1)</f>
        <v>1</v>
      </c>
    </row>
    <row r="45" customFormat="false" ht="15" hidden="false" customHeight="false" outlineLevel="0" collapsed="false">
      <c r="A45" s="83" t="s">
        <v>97</v>
      </c>
      <c r="B45" s="83" t="s">
        <v>98</v>
      </c>
      <c r="C45" s="83"/>
      <c r="D45" s="83" t="s">
        <v>129</v>
      </c>
      <c r="E45" s="83" t="s">
        <v>130</v>
      </c>
      <c r="F45" s="83" t="s">
        <v>102</v>
      </c>
      <c r="G45" s="84" t="s">
        <v>103</v>
      </c>
      <c r="H45" s="85" t="n">
        <f aca="false">IFERROR(--REPLACE(SUBSTITUTE(G45,"T"," "),LEN(G45)-6,6,""),"")</f>
        <v>45444</v>
      </c>
      <c r="I45" s="84" t="s">
        <v>104</v>
      </c>
      <c r="J45" s="85" t="n">
        <f aca="false">IFERROR(--REPLACE(SUBSTITUTE(I45,"T"," "),LEN(I45)-6,6,""),"")</f>
        <v>45809</v>
      </c>
      <c r="K45" s="83"/>
      <c r="L45" s="83" t="s">
        <v>105</v>
      </c>
      <c r="M45" s="83" t="s">
        <v>106</v>
      </c>
      <c r="N45" s="83" t="s">
        <v>457</v>
      </c>
      <c r="O45" s="83" t="s">
        <v>108</v>
      </c>
      <c r="P45" s="83" t="s">
        <v>458</v>
      </c>
      <c r="Q45" s="84" t="s">
        <v>459</v>
      </c>
      <c r="R45" s="85" t="n">
        <f aca="false">IFERROR(--REPLACE(SUBSTITUTE(Q45,"T"," "),LEN(Q45)-6,6,""),"")</f>
        <v>45579</v>
      </c>
      <c r="S45" s="83" t="s">
        <v>111</v>
      </c>
      <c r="T45" s="86" t="n">
        <v>0</v>
      </c>
      <c r="U45" s="86" t="n">
        <v>7608.15</v>
      </c>
      <c r="V45" s="86" t="n">
        <v>7608.15</v>
      </c>
      <c r="W45" s="86" t="n">
        <v>0</v>
      </c>
      <c r="X45" s="86" t="n">
        <v>0</v>
      </c>
      <c r="Y45" s="86" t="n">
        <v>0</v>
      </c>
      <c r="Z45" s="86" t="n">
        <v>0</v>
      </c>
      <c r="AA45" s="86" t="n">
        <v>0</v>
      </c>
      <c r="AB45" s="86"/>
      <c r="AC45" s="86" t="n">
        <v>0</v>
      </c>
      <c r="AD45" s="86" t="n">
        <v>0</v>
      </c>
      <c r="AE45" s="86" t="n">
        <v>0</v>
      </c>
      <c r="AF45" s="87"/>
      <c r="AG45" s="87" t="s">
        <v>460</v>
      </c>
      <c r="AH45" s="87" t="s">
        <v>461</v>
      </c>
      <c r="AI45" s="87" t="s">
        <v>462</v>
      </c>
      <c r="AJ45" s="87"/>
      <c r="AK45" s="87"/>
      <c r="AL45" s="87"/>
      <c r="AM45" s="87"/>
      <c r="AN45" s="84" t="s">
        <v>463</v>
      </c>
      <c r="AO45" s="85" t="n">
        <f aca="false">IFERROR(--REPLACE(SUBSTITUTE(AN45,"T"," "),LEN(AN45)-6,6,""),"")</f>
        <v>45596</v>
      </c>
      <c r="AP45" s="83" t="s">
        <v>116</v>
      </c>
      <c r="AQ45" s="84" t="s">
        <v>233</v>
      </c>
      <c r="AR45" s="85" t="n">
        <f aca="false">IFERROR(--REPLACE(SUBSTITUTE(AQ45,"T"," "),LEN(AQ45)-6,6,""),"")</f>
        <v>45631</v>
      </c>
      <c r="AS45" s="83" t="s">
        <v>464</v>
      </c>
      <c r="AT45" s="83"/>
      <c r="AU45" s="83" t="s">
        <v>139</v>
      </c>
      <c r="AV45" s="83"/>
      <c r="AW45" s="88"/>
      <c r="AX45" s="88"/>
      <c r="AY45" s="83"/>
      <c r="AZ45" s="83"/>
      <c r="BA45" s="83"/>
      <c r="BB45" s="83"/>
      <c r="BC45" s="83"/>
      <c r="BD45" s="83" t="s">
        <v>465</v>
      </c>
      <c r="BE45" s="83" t="s">
        <v>466</v>
      </c>
      <c r="BF45" s="83" t="s">
        <v>123</v>
      </c>
      <c r="BG45" s="88" t="s">
        <v>124</v>
      </c>
      <c r="BH45" s="88" t="s">
        <v>125</v>
      </c>
      <c r="BI45" s="88" t="s">
        <v>125</v>
      </c>
      <c r="BJ45" s="88" t="s">
        <v>126</v>
      </c>
      <c r="BK45" s="83" t="s">
        <v>142</v>
      </c>
      <c r="BL45" s="89" t="n">
        <v>2024</v>
      </c>
      <c r="BM45" s="90" t="n">
        <v>0</v>
      </c>
      <c r="BN45" s="83" t="s">
        <v>467</v>
      </c>
      <c r="BO45" s="91" t="n">
        <f aca="false">IF(SUMPRODUCT(($A$2:$A46=A46)*($N$2:$N46=N46))&gt;1,0,1)</f>
        <v>0</v>
      </c>
    </row>
    <row r="46" customFormat="false" ht="15" hidden="false" customHeight="false" outlineLevel="0" collapsed="false">
      <c r="A46" s="83" t="s">
        <v>97</v>
      </c>
      <c r="B46" s="83" t="s">
        <v>98</v>
      </c>
      <c r="C46" s="83"/>
      <c r="D46" s="83" t="s">
        <v>170</v>
      </c>
      <c r="E46" s="83" t="s">
        <v>171</v>
      </c>
      <c r="F46" s="83" t="s">
        <v>108</v>
      </c>
      <c r="G46" s="84" t="s">
        <v>104</v>
      </c>
      <c r="H46" s="85" t="n">
        <f aca="false">IFERROR(--REPLACE(SUBSTITUTE(G46,"T"," "),LEN(G46)-6,6,""),"")</f>
        <v>45809</v>
      </c>
      <c r="I46" s="84" t="s">
        <v>144</v>
      </c>
      <c r="J46" s="85" t="n">
        <f aca="false">IFERROR(--REPLACE(SUBSTITUTE(I46,"T"," "),LEN(I46)-6,6,""),"")</f>
        <v>46174</v>
      </c>
      <c r="K46" s="83"/>
      <c r="L46" s="83" t="s">
        <v>105</v>
      </c>
      <c r="M46" s="83" t="s">
        <v>106</v>
      </c>
      <c r="N46" s="83" t="s">
        <v>422</v>
      </c>
      <c r="O46" s="83" t="s">
        <v>146</v>
      </c>
      <c r="P46" s="83" t="s">
        <v>405</v>
      </c>
      <c r="Q46" s="84" t="s">
        <v>423</v>
      </c>
      <c r="R46" s="85" t="n">
        <f aca="false">IFERROR(--REPLACE(SUBSTITUTE(Q46,"T"," "),LEN(Q46)-6,6,""),"")</f>
        <v>45836</v>
      </c>
      <c r="S46" s="83" t="s">
        <v>111</v>
      </c>
      <c r="T46" s="86" t="n">
        <v>0</v>
      </c>
      <c r="U46" s="86" t="n">
        <v>8877.89</v>
      </c>
      <c r="V46" s="86" t="n">
        <v>8877.89</v>
      </c>
      <c r="W46" s="86" t="n">
        <v>0</v>
      </c>
      <c r="X46" s="86" t="n">
        <v>0</v>
      </c>
      <c r="Y46" s="86" t="n">
        <v>0</v>
      </c>
      <c r="Z46" s="86" t="n">
        <v>0</v>
      </c>
      <c r="AA46" s="86" t="n">
        <v>0</v>
      </c>
      <c r="AB46" s="86"/>
      <c r="AC46" s="86" t="n">
        <v>0</v>
      </c>
      <c r="AD46" s="86" t="n">
        <v>0</v>
      </c>
      <c r="AE46" s="86" t="n">
        <v>0</v>
      </c>
      <c r="AF46" s="87"/>
      <c r="AG46" s="87" t="s">
        <v>424</v>
      </c>
      <c r="AH46" s="87" t="s">
        <v>425</v>
      </c>
      <c r="AI46" s="87" t="s">
        <v>177</v>
      </c>
      <c r="AJ46" s="87"/>
      <c r="AK46" s="87"/>
      <c r="AL46" s="87"/>
      <c r="AM46" s="87"/>
      <c r="AN46" s="84" t="s">
        <v>426</v>
      </c>
      <c r="AO46" s="85" t="n">
        <f aca="false">IFERROR(--REPLACE(SUBSTITUTE(AN46,"T"," "),LEN(AN46)-6,6,""),"")</f>
        <v>45838</v>
      </c>
      <c r="AP46" s="83" t="s">
        <v>116</v>
      </c>
      <c r="AQ46" s="84" t="s">
        <v>427</v>
      </c>
      <c r="AR46" s="85" t="n">
        <f aca="false">IFERROR(--REPLACE(SUBSTITUTE(AQ46,"T"," "),LEN(AQ46)-6,6,""),"")</f>
        <v>45863</v>
      </c>
      <c r="AS46" s="83" t="s">
        <v>468</v>
      </c>
      <c r="AT46" s="83"/>
      <c r="AU46" s="83" t="s">
        <v>320</v>
      </c>
      <c r="AV46" s="83"/>
      <c r="AW46" s="88"/>
      <c r="AX46" s="88"/>
      <c r="AY46" s="83"/>
      <c r="AZ46" s="83"/>
      <c r="BA46" s="83"/>
      <c r="BB46" s="83"/>
      <c r="BC46" s="83"/>
      <c r="BD46" s="83" t="s">
        <v>430</v>
      </c>
      <c r="BE46" s="83" t="s">
        <v>431</v>
      </c>
      <c r="BF46" s="83" t="s">
        <v>123</v>
      </c>
      <c r="BG46" s="88" t="s">
        <v>124</v>
      </c>
      <c r="BH46" s="88" t="s">
        <v>125</v>
      </c>
      <c r="BI46" s="88" t="s">
        <v>125</v>
      </c>
      <c r="BJ46" s="88" t="s">
        <v>126</v>
      </c>
      <c r="BK46" s="83" t="s">
        <v>343</v>
      </c>
      <c r="BL46" s="89" t="n">
        <v>2025</v>
      </c>
      <c r="BM46" s="90" t="n">
        <v>0</v>
      </c>
      <c r="BN46" s="83" t="s">
        <v>469</v>
      </c>
      <c r="BO46" s="91" t="n">
        <f aca="false">IF(SUMPRODUCT(($A$2:$A47=A47)*($N$2:$N47=N47))&gt;1,0,1)</f>
        <v>1</v>
      </c>
    </row>
    <row r="47" customFormat="false" ht="15" hidden="false" customHeight="false" outlineLevel="0" collapsed="false">
      <c r="A47" s="83" t="s">
        <v>97</v>
      </c>
      <c r="B47" s="83" t="s">
        <v>98</v>
      </c>
      <c r="C47" s="83"/>
      <c r="D47" s="83" t="s">
        <v>170</v>
      </c>
      <c r="E47" s="83" t="s">
        <v>171</v>
      </c>
      <c r="F47" s="83" t="s">
        <v>102</v>
      </c>
      <c r="G47" s="84" t="s">
        <v>103</v>
      </c>
      <c r="H47" s="85" t="n">
        <f aca="false">IFERROR(--REPLACE(SUBSTITUTE(G47,"T"," "),LEN(G47)-6,6,""),"")</f>
        <v>45444</v>
      </c>
      <c r="I47" s="84" t="s">
        <v>104</v>
      </c>
      <c r="J47" s="85" t="n">
        <f aca="false">IFERROR(--REPLACE(SUBSTITUTE(I47,"T"," "),LEN(I47)-6,6,""),"")</f>
        <v>45809</v>
      </c>
      <c r="K47" s="83"/>
      <c r="L47" s="83" t="s">
        <v>105</v>
      </c>
      <c r="M47" s="83" t="s">
        <v>106</v>
      </c>
      <c r="N47" s="83" t="s">
        <v>470</v>
      </c>
      <c r="O47" s="83" t="s">
        <v>108</v>
      </c>
      <c r="P47" s="83" t="s">
        <v>173</v>
      </c>
      <c r="Q47" s="84" t="s">
        <v>471</v>
      </c>
      <c r="R47" s="85" t="n">
        <f aca="false">IFERROR(--REPLACE(SUBSTITUTE(Q47,"T"," "),LEN(Q47)-6,6,""),"")</f>
        <v>45562</v>
      </c>
      <c r="S47" s="83" t="s">
        <v>111</v>
      </c>
      <c r="T47" s="86" t="n">
        <v>0</v>
      </c>
      <c r="U47" s="86" t="n">
        <v>14912</v>
      </c>
      <c r="V47" s="86" t="n">
        <v>14912</v>
      </c>
      <c r="W47" s="86" t="n">
        <v>0</v>
      </c>
      <c r="X47" s="86" t="n">
        <v>0</v>
      </c>
      <c r="Y47" s="86" t="n">
        <v>0</v>
      </c>
      <c r="Z47" s="86" t="n">
        <v>0</v>
      </c>
      <c r="AA47" s="86" t="n">
        <v>0</v>
      </c>
      <c r="AB47" s="86"/>
      <c r="AC47" s="86" t="n">
        <v>0</v>
      </c>
      <c r="AD47" s="86" t="n">
        <v>0</v>
      </c>
      <c r="AE47" s="86" t="n">
        <v>0</v>
      </c>
      <c r="AF47" s="87"/>
      <c r="AG47" s="87" t="s">
        <v>175</v>
      </c>
      <c r="AH47" s="87" t="s">
        <v>472</v>
      </c>
      <c r="AI47" s="87" t="s">
        <v>473</v>
      </c>
      <c r="AJ47" s="87"/>
      <c r="AK47" s="87"/>
      <c r="AL47" s="87"/>
      <c r="AM47" s="87"/>
      <c r="AN47" s="84" t="s">
        <v>289</v>
      </c>
      <c r="AO47" s="85" t="n">
        <f aca="false">IFERROR(--REPLACE(SUBSTITUTE(AN47,"T"," "),LEN(AN47)-6,6,""),"")</f>
        <v>45574</v>
      </c>
      <c r="AP47" s="83" t="s">
        <v>116</v>
      </c>
      <c r="AQ47" s="84" t="s">
        <v>474</v>
      </c>
      <c r="AR47" s="85" t="n">
        <f aca="false">IFERROR(--REPLACE(SUBSTITUTE(AQ47,"T"," "),LEN(AQ47)-6,6,""),"")</f>
        <v>45622</v>
      </c>
      <c r="AS47" s="83" t="s">
        <v>98</v>
      </c>
      <c r="AT47" s="83"/>
      <c r="AU47" s="83" t="s">
        <v>120</v>
      </c>
      <c r="AV47" s="83"/>
      <c r="AW47" s="88" t="s">
        <v>126</v>
      </c>
      <c r="AX47" s="88" t="s">
        <v>418</v>
      </c>
      <c r="AY47" s="83" t="s">
        <v>475</v>
      </c>
      <c r="AZ47" s="83" t="s">
        <v>476</v>
      </c>
      <c r="BA47" s="83" t="s">
        <v>477</v>
      </c>
      <c r="BB47" s="83"/>
      <c r="BC47" s="83" t="s">
        <v>111</v>
      </c>
      <c r="BD47" s="83" t="s">
        <v>478</v>
      </c>
      <c r="BE47" s="83" t="s">
        <v>479</v>
      </c>
      <c r="BF47" s="83" t="s">
        <v>123</v>
      </c>
      <c r="BG47" s="88" t="s">
        <v>124</v>
      </c>
      <c r="BH47" s="88" t="s">
        <v>125</v>
      </c>
      <c r="BI47" s="88" t="s">
        <v>125</v>
      </c>
      <c r="BJ47" s="88" t="s">
        <v>126</v>
      </c>
      <c r="BK47" s="83" t="s">
        <v>186</v>
      </c>
      <c r="BL47" s="89" t="n">
        <v>2024</v>
      </c>
      <c r="BM47" s="90" t="n">
        <v>0</v>
      </c>
      <c r="BN47" s="83" t="s">
        <v>480</v>
      </c>
      <c r="BO47" s="91" t="n">
        <f aca="false">IF(SUMPRODUCT(($A$2:$A48=A48)*($N$2:$N48=N48))&gt;1,0,1)</f>
        <v>1</v>
      </c>
    </row>
    <row r="48" customFormat="false" ht="15" hidden="false" customHeight="false" outlineLevel="0" collapsed="false">
      <c r="A48" s="83" t="s">
        <v>97</v>
      </c>
      <c r="B48" s="83" t="s">
        <v>98</v>
      </c>
      <c r="C48" s="83"/>
      <c r="D48" s="83" t="s">
        <v>170</v>
      </c>
      <c r="E48" s="83" t="s">
        <v>171</v>
      </c>
      <c r="F48" s="83" t="s">
        <v>102</v>
      </c>
      <c r="G48" s="84" t="s">
        <v>103</v>
      </c>
      <c r="H48" s="85" t="n">
        <f aca="false">IFERROR(--REPLACE(SUBSTITUTE(G48,"T"," "),LEN(G48)-6,6,""),"")</f>
        <v>45444</v>
      </c>
      <c r="I48" s="84" t="s">
        <v>104</v>
      </c>
      <c r="J48" s="85" t="n">
        <f aca="false">IFERROR(--REPLACE(SUBSTITUTE(I48,"T"," "),LEN(I48)-6,6,""),"")</f>
        <v>45809</v>
      </c>
      <c r="K48" s="83"/>
      <c r="L48" s="83" t="s">
        <v>105</v>
      </c>
      <c r="M48" s="83" t="s">
        <v>106</v>
      </c>
      <c r="N48" s="83" t="s">
        <v>481</v>
      </c>
      <c r="O48" s="83" t="s">
        <v>108</v>
      </c>
      <c r="P48" s="83" t="s">
        <v>173</v>
      </c>
      <c r="Q48" s="84" t="s">
        <v>471</v>
      </c>
      <c r="R48" s="85" t="n">
        <f aca="false">IFERROR(--REPLACE(SUBSTITUTE(Q48,"T"," "),LEN(Q48)-6,6,""),"")</f>
        <v>45562</v>
      </c>
      <c r="S48" s="83" t="s">
        <v>111</v>
      </c>
      <c r="T48" s="86" t="n">
        <v>0</v>
      </c>
      <c r="U48" s="86" t="n">
        <v>16925</v>
      </c>
      <c r="V48" s="86" t="n">
        <v>16925</v>
      </c>
      <c r="W48" s="86" t="n">
        <v>0</v>
      </c>
      <c r="X48" s="86" t="n">
        <v>-8925</v>
      </c>
      <c r="Y48" s="86" t="n">
        <v>0</v>
      </c>
      <c r="Z48" s="86" t="n">
        <v>0</v>
      </c>
      <c r="AA48" s="86" t="n">
        <v>0</v>
      </c>
      <c r="AB48" s="86"/>
      <c r="AC48" s="86" t="n">
        <v>0</v>
      </c>
      <c r="AD48" s="86" t="n">
        <v>0</v>
      </c>
      <c r="AE48" s="86" t="n">
        <v>0</v>
      </c>
      <c r="AF48" s="87"/>
      <c r="AG48" s="87" t="s">
        <v>482</v>
      </c>
      <c r="AH48" s="87" t="s">
        <v>483</v>
      </c>
      <c r="AI48" s="87" t="s">
        <v>177</v>
      </c>
      <c r="AJ48" s="87"/>
      <c r="AK48" s="87"/>
      <c r="AL48" s="87"/>
      <c r="AM48" s="87"/>
      <c r="AN48" s="84" t="s">
        <v>484</v>
      </c>
      <c r="AO48" s="85" t="n">
        <f aca="false">IFERROR(--REPLACE(SUBSTITUTE(AN48,"T"," "),LEN(AN48)-6,6,""),"")</f>
        <v>45568</v>
      </c>
      <c r="AP48" s="83" t="s">
        <v>116</v>
      </c>
      <c r="AQ48" s="84" t="s">
        <v>259</v>
      </c>
      <c r="AR48" s="85" t="n">
        <f aca="false">IFERROR(--REPLACE(SUBSTITUTE(AQ48,"T"," "),LEN(AQ48)-6,6,""),"")</f>
        <v>45638</v>
      </c>
      <c r="AS48" s="83" t="s">
        <v>98</v>
      </c>
      <c r="AT48" s="83"/>
      <c r="AU48" s="83" t="s">
        <v>120</v>
      </c>
      <c r="AV48" s="83"/>
      <c r="AW48" s="88" t="s">
        <v>126</v>
      </c>
      <c r="AX48" s="88" t="s">
        <v>485</v>
      </c>
      <c r="AY48" s="83" t="s">
        <v>486</v>
      </c>
      <c r="AZ48" s="83" t="s">
        <v>487</v>
      </c>
      <c r="BA48" s="83" t="s">
        <v>488</v>
      </c>
      <c r="BB48" s="83"/>
      <c r="BC48" s="83"/>
      <c r="BD48" s="83" t="s">
        <v>489</v>
      </c>
      <c r="BE48" s="83" t="s">
        <v>490</v>
      </c>
      <c r="BF48" s="83" t="s">
        <v>123</v>
      </c>
      <c r="BG48" s="88" t="s">
        <v>124</v>
      </c>
      <c r="BH48" s="88" t="s">
        <v>125</v>
      </c>
      <c r="BI48" s="88" t="s">
        <v>125</v>
      </c>
      <c r="BJ48" s="88" t="s">
        <v>126</v>
      </c>
      <c r="BK48" s="83" t="s">
        <v>186</v>
      </c>
      <c r="BL48" s="89" t="n">
        <v>2024</v>
      </c>
      <c r="BM48" s="90" t="n">
        <v>0</v>
      </c>
      <c r="BN48" s="83" t="s">
        <v>491</v>
      </c>
      <c r="BO48" s="91" t="n">
        <f aca="false">IF(SUMPRODUCT(($A$2:$A49=A49)*($N$2:$N49=N49))&gt;1,0,1)</f>
        <v>1</v>
      </c>
    </row>
    <row r="49" customFormat="false" ht="15" hidden="false" customHeight="false" outlineLevel="0" collapsed="false">
      <c r="A49" s="83" t="s">
        <v>97</v>
      </c>
      <c r="B49" s="83" t="s">
        <v>98</v>
      </c>
      <c r="C49" s="83"/>
      <c r="D49" s="83" t="s">
        <v>129</v>
      </c>
      <c r="E49" s="83" t="s">
        <v>130</v>
      </c>
      <c r="F49" s="83" t="s">
        <v>102</v>
      </c>
      <c r="G49" s="84" t="s">
        <v>103</v>
      </c>
      <c r="H49" s="85" t="n">
        <f aca="false">IFERROR(--REPLACE(SUBSTITUTE(G49,"T"," "),LEN(G49)-6,6,""),"")</f>
        <v>45444</v>
      </c>
      <c r="I49" s="84" t="s">
        <v>104</v>
      </c>
      <c r="J49" s="85" t="n">
        <f aca="false">IFERROR(--REPLACE(SUBSTITUTE(I49,"T"," "),LEN(I49)-6,6,""),"")</f>
        <v>45809</v>
      </c>
      <c r="K49" s="83"/>
      <c r="L49" s="83" t="s">
        <v>105</v>
      </c>
      <c r="M49" s="83" t="s">
        <v>106</v>
      </c>
      <c r="N49" s="83" t="s">
        <v>492</v>
      </c>
      <c r="O49" s="83" t="s">
        <v>108</v>
      </c>
      <c r="P49" s="83" t="s">
        <v>493</v>
      </c>
      <c r="Q49" s="84" t="s">
        <v>471</v>
      </c>
      <c r="R49" s="85" t="n">
        <f aca="false">IFERROR(--REPLACE(SUBSTITUTE(Q49,"T"," "),LEN(Q49)-6,6,""),"")</f>
        <v>45562</v>
      </c>
      <c r="S49" s="83" t="s">
        <v>111</v>
      </c>
      <c r="T49" s="86" t="n">
        <v>0</v>
      </c>
      <c r="U49" s="86" t="n">
        <v>162175.62</v>
      </c>
      <c r="V49" s="86" t="n">
        <v>162175.62</v>
      </c>
      <c r="W49" s="86" t="n">
        <v>1084.44</v>
      </c>
      <c r="X49" s="86" t="n">
        <v>0</v>
      </c>
      <c r="Y49" s="86" t="n">
        <v>0</v>
      </c>
      <c r="Z49" s="86" t="n">
        <v>0</v>
      </c>
      <c r="AA49" s="86" t="n">
        <v>0</v>
      </c>
      <c r="AB49" s="86"/>
      <c r="AC49" s="86" t="n">
        <v>1084.44</v>
      </c>
      <c r="AD49" s="86" t="n">
        <v>1084.44</v>
      </c>
      <c r="AE49" s="86" t="n">
        <v>0</v>
      </c>
      <c r="AF49" s="87"/>
      <c r="AG49" s="87" t="s">
        <v>494</v>
      </c>
      <c r="AH49" s="87" t="s">
        <v>495</v>
      </c>
      <c r="AI49" s="87" t="s">
        <v>473</v>
      </c>
      <c r="AJ49" s="87"/>
      <c r="AK49" s="87"/>
      <c r="AL49" s="87"/>
      <c r="AM49" s="87"/>
      <c r="AN49" s="84" t="s">
        <v>496</v>
      </c>
      <c r="AO49" s="85" t="n">
        <f aca="false">IFERROR(--REPLACE(SUBSTITUTE(AN49,"T"," "),LEN(AN49)-6,6,""),"")</f>
        <v>45565</v>
      </c>
      <c r="AP49" s="83" t="s">
        <v>116</v>
      </c>
      <c r="AQ49" s="84" t="s">
        <v>497</v>
      </c>
      <c r="AR49" s="85" t="n">
        <f aca="false">IFERROR(--REPLACE(SUBSTITUTE(AQ49,"T"," "),LEN(AQ49)-6,6,""),"")</f>
        <v>45761</v>
      </c>
      <c r="AS49" s="83" t="s">
        <v>98</v>
      </c>
      <c r="AT49" s="83"/>
      <c r="AU49" s="83" t="s">
        <v>120</v>
      </c>
      <c r="AV49" s="83"/>
      <c r="AW49" s="88"/>
      <c r="AX49" s="88"/>
      <c r="AY49" s="83"/>
      <c r="AZ49" s="83"/>
      <c r="BA49" s="83"/>
      <c r="BB49" s="83"/>
      <c r="BC49" s="83"/>
      <c r="BD49" s="83" t="s">
        <v>498</v>
      </c>
      <c r="BE49" s="83" t="s">
        <v>499</v>
      </c>
      <c r="BF49" s="83" t="s">
        <v>500</v>
      </c>
      <c r="BG49" s="88" t="s">
        <v>124</v>
      </c>
      <c r="BH49" s="88" t="s">
        <v>125</v>
      </c>
      <c r="BI49" s="88" t="s">
        <v>125</v>
      </c>
      <c r="BJ49" s="88" t="s">
        <v>126</v>
      </c>
      <c r="BK49" s="83" t="s">
        <v>142</v>
      </c>
      <c r="BL49" s="89" t="n">
        <v>2024</v>
      </c>
      <c r="BM49" s="90" t="n">
        <v>1</v>
      </c>
      <c r="BN49" s="83" t="s">
        <v>501</v>
      </c>
      <c r="BO49" s="91" t="n">
        <f aca="false">IF(SUMPRODUCT(($A$2:$A50=A50)*($N$2:$N50=N50))&gt;1,0,1)</f>
        <v>1</v>
      </c>
    </row>
    <row r="50" customFormat="false" ht="15" hidden="false" customHeight="false" outlineLevel="0" collapsed="false">
      <c r="A50" s="83" t="s">
        <v>97</v>
      </c>
      <c r="B50" s="83" t="s">
        <v>98</v>
      </c>
      <c r="C50" s="83" t="s">
        <v>99</v>
      </c>
      <c r="D50" s="83" t="s">
        <v>100</v>
      </c>
      <c r="E50" s="83" t="s">
        <v>101</v>
      </c>
      <c r="F50" s="83" t="s">
        <v>108</v>
      </c>
      <c r="G50" s="84" t="s">
        <v>104</v>
      </c>
      <c r="H50" s="85" t="n">
        <f aca="false">IFERROR(--REPLACE(SUBSTITUTE(G50,"T"," "),LEN(G50)-6,6,""),"")</f>
        <v>45809</v>
      </c>
      <c r="I50" s="84" t="s">
        <v>144</v>
      </c>
      <c r="J50" s="85" t="n">
        <f aca="false">IFERROR(--REPLACE(SUBSTITUTE(I50,"T"," "),LEN(I50)-6,6,""),"")</f>
        <v>46174</v>
      </c>
      <c r="K50" s="83"/>
      <c r="L50" s="83" t="s">
        <v>105</v>
      </c>
      <c r="M50" s="83" t="s">
        <v>106</v>
      </c>
      <c r="N50" s="83" t="s">
        <v>502</v>
      </c>
      <c r="O50" s="83" t="s">
        <v>146</v>
      </c>
      <c r="P50" s="83" t="s">
        <v>147</v>
      </c>
      <c r="Q50" s="84" t="s">
        <v>503</v>
      </c>
      <c r="R50" s="85" t="n">
        <f aca="false">IFERROR(--REPLACE(SUBSTITUTE(Q50,"T"," "),LEN(Q50)-6,6,""),"")</f>
        <v>45989</v>
      </c>
      <c r="S50" s="83" t="s">
        <v>111</v>
      </c>
      <c r="T50" s="86" t="n">
        <v>2500</v>
      </c>
      <c r="U50" s="86" t="n">
        <v>0</v>
      </c>
      <c r="V50" s="86" t="n">
        <v>2500</v>
      </c>
      <c r="W50" s="86" t="n">
        <v>0</v>
      </c>
      <c r="X50" s="86" t="n">
        <v>0</v>
      </c>
      <c r="Y50" s="86" t="n">
        <v>0</v>
      </c>
      <c r="Z50" s="86" t="n">
        <v>0</v>
      </c>
      <c r="AA50" s="86" t="n">
        <v>0</v>
      </c>
      <c r="AB50" s="86"/>
      <c r="AC50" s="86" t="n">
        <v>0</v>
      </c>
      <c r="AD50" s="86" t="n">
        <v>0</v>
      </c>
      <c r="AE50" s="86" t="n">
        <v>0</v>
      </c>
      <c r="AF50" s="87"/>
      <c r="AG50" s="87" t="s">
        <v>504</v>
      </c>
      <c r="AH50" s="87" t="s">
        <v>505</v>
      </c>
      <c r="AI50" s="87" t="s">
        <v>506</v>
      </c>
      <c r="AJ50" s="87"/>
      <c r="AK50" s="87"/>
      <c r="AL50" s="87"/>
      <c r="AM50" s="87"/>
      <c r="AN50" s="84" t="s">
        <v>507</v>
      </c>
      <c r="AO50" s="85" t="n">
        <f aca="false">IFERROR(--REPLACE(SUBSTITUTE(AN50,"T"," "),LEN(AN50)-6,6,""),"")</f>
        <v>46010</v>
      </c>
      <c r="AP50" s="83" t="s">
        <v>508</v>
      </c>
      <c r="AQ50" s="84"/>
      <c r="AR50" s="85" t="str">
        <f aca="false">IFERROR(--REPLACE(SUBSTITUTE(AQ50,"T"," "),LEN(AQ50)-6,6,""),"")</f>
        <v/>
      </c>
      <c r="AS50" s="83" t="s">
        <v>509</v>
      </c>
      <c r="AT50" s="83" t="s">
        <v>510</v>
      </c>
      <c r="AU50" s="83" t="s">
        <v>120</v>
      </c>
      <c r="AV50" s="83"/>
      <c r="AW50" s="88"/>
      <c r="AX50" s="88"/>
      <c r="AY50" s="83"/>
      <c r="AZ50" s="83"/>
      <c r="BA50" s="83"/>
      <c r="BB50" s="83"/>
      <c r="BC50" s="83"/>
      <c r="BD50" s="83" t="s">
        <v>511</v>
      </c>
      <c r="BE50" s="83" t="s">
        <v>512</v>
      </c>
      <c r="BF50" s="83" t="s">
        <v>123</v>
      </c>
      <c r="BG50" s="88" t="s">
        <v>124</v>
      </c>
      <c r="BH50" s="88" t="s">
        <v>125</v>
      </c>
      <c r="BI50" s="88" t="s">
        <v>125</v>
      </c>
      <c r="BJ50" s="88" t="s">
        <v>126</v>
      </c>
      <c r="BK50" s="83" t="s">
        <v>157</v>
      </c>
      <c r="BL50" s="89" t="n">
        <v>2025</v>
      </c>
      <c r="BM50" s="90" t="n">
        <v>0</v>
      </c>
      <c r="BN50" s="83" t="s">
        <v>513</v>
      </c>
      <c r="BO50" s="91" t="n">
        <f aca="false">IF(SUMPRODUCT(($A$2:$A51=A51)*($N$2:$N51=N51))&gt;1,0,1)</f>
        <v>1</v>
      </c>
    </row>
    <row r="51" customFormat="false" ht="15" hidden="false" customHeight="false" outlineLevel="0" collapsed="false">
      <c r="A51" s="83" t="s">
        <v>97</v>
      </c>
      <c r="B51" s="83" t="s">
        <v>98</v>
      </c>
      <c r="C51" s="83" t="s">
        <v>99</v>
      </c>
      <c r="D51" s="83" t="s">
        <v>100</v>
      </c>
      <c r="E51" s="83" t="s">
        <v>101</v>
      </c>
      <c r="F51" s="83" t="s">
        <v>108</v>
      </c>
      <c r="G51" s="84" t="s">
        <v>104</v>
      </c>
      <c r="H51" s="85" t="n">
        <f aca="false">IFERROR(--REPLACE(SUBSTITUTE(G51,"T"," "),LEN(G51)-6,6,""),"")</f>
        <v>45809</v>
      </c>
      <c r="I51" s="84" t="s">
        <v>144</v>
      </c>
      <c r="J51" s="85" t="n">
        <f aca="false">IFERROR(--REPLACE(SUBSTITUTE(I51,"T"," "),LEN(I51)-6,6,""),"")</f>
        <v>46174</v>
      </c>
      <c r="K51" s="83"/>
      <c r="L51" s="83" t="s">
        <v>105</v>
      </c>
      <c r="M51" s="83" t="s">
        <v>106</v>
      </c>
      <c r="N51" s="83" t="s">
        <v>514</v>
      </c>
      <c r="O51" s="83" t="s">
        <v>146</v>
      </c>
      <c r="P51" s="83" t="s">
        <v>147</v>
      </c>
      <c r="Q51" s="84" t="s">
        <v>515</v>
      </c>
      <c r="R51" s="85" t="n">
        <f aca="false">IFERROR(--REPLACE(SUBSTITUTE(Q51,"T"," "),LEN(Q51)-6,6,""),"")</f>
        <v>46161</v>
      </c>
      <c r="S51" s="83" t="s">
        <v>111</v>
      </c>
      <c r="T51" s="86" t="n">
        <v>2500</v>
      </c>
      <c r="U51" s="86" t="n">
        <v>0</v>
      </c>
      <c r="V51" s="86" t="n">
        <v>2500</v>
      </c>
      <c r="W51" s="86" t="n">
        <v>0</v>
      </c>
      <c r="X51" s="86" t="n">
        <v>0</v>
      </c>
      <c r="Y51" s="86" t="n">
        <v>0</v>
      </c>
      <c r="Z51" s="86" t="n">
        <v>0</v>
      </c>
      <c r="AA51" s="86" t="n">
        <v>0</v>
      </c>
      <c r="AB51" s="86"/>
      <c r="AC51" s="86" t="n">
        <v>0</v>
      </c>
      <c r="AD51" s="86" t="n">
        <v>0</v>
      </c>
      <c r="AE51" s="86" t="n">
        <v>0</v>
      </c>
      <c r="AF51" s="87"/>
      <c r="AG51" s="87" t="s">
        <v>516</v>
      </c>
      <c r="AH51" s="87" t="s">
        <v>217</v>
      </c>
      <c r="AI51" s="87" t="s">
        <v>517</v>
      </c>
      <c r="AJ51" s="87"/>
      <c r="AK51" s="87"/>
      <c r="AL51" s="87"/>
      <c r="AM51" s="87"/>
      <c r="AN51" s="84" t="s">
        <v>518</v>
      </c>
      <c r="AO51" s="85" t="n">
        <f aca="false">IFERROR(--REPLACE(SUBSTITUTE(AN51,"T"," "),LEN(AN51)-6,6,""),"")</f>
        <v>46162</v>
      </c>
      <c r="AP51" s="83" t="s">
        <v>508</v>
      </c>
      <c r="AQ51" s="84"/>
      <c r="AR51" s="85" t="str">
        <f aca="false">IFERROR(--REPLACE(SUBSTITUTE(AQ51,"T"," "),LEN(AQ51)-6,6,""),"")</f>
        <v/>
      </c>
      <c r="AS51" s="83" t="s">
        <v>519</v>
      </c>
      <c r="AT51" s="83" t="s">
        <v>520</v>
      </c>
      <c r="AU51" s="83" t="s">
        <v>166</v>
      </c>
      <c r="AV51" s="83"/>
      <c r="AW51" s="88"/>
      <c r="AX51" s="88"/>
      <c r="AY51" s="83"/>
      <c r="AZ51" s="83"/>
      <c r="BA51" s="83"/>
      <c r="BB51" s="83"/>
      <c r="BC51" s="83"/>
      <c r="BD51" s="83" t="s">
        <v>302</v>
      </c>
      <c r="BE51" s="83" t="s">
        <v>303</v>
      </c>
      <c r="BF51" s="83" t="s">
        <v>123</v>
      </c>
      <c r="BG51" s="88" t="s">
        <v>124</v>
      </c>
      <c r="BH51" s="88" t="s">
        <v>125</v>
      </c>
      <c r="BI51" s="88" t="s">
        <v>125</v>
      </c>
      <c r="BJ51" s="88" t="s">
        <v>126</v>
      </c>
      <c r="BK51" s="83" t="s">
        <v>157</v>
      </c>
      <c r="BL51" s="89" t="n">
        <v>2025</v>
      </c>
      <c r="BM51" s="90" t="n">
        <v>0</v>
      </c>
      <c r="BN51" s="83" t="s">
        <v>521</v>
      </c>
      <c r="BO51" s="91" t="n">
        <f aca="false">IF(SUMPRODUCT(($A$2:$A52=A52)*($N$2:$N52=N52))&gt;1,0,1)</f>
        <v>1</v>
      </c>
    </row>
    <row r="52" customFormat="false" ht="15" hidden="false" customHeight="false" outlineLevel="0" collapsed="false">
      <c r="A52" s="83" t="s">
        <v>97</v>
      </c>
      <c r="B52" s="83" t="s">
        <v>98</v>
      </c>
      <c r="C52" s="83"/>
      <c r="D52" s="83" t="s">
        <v>170</v>
      </c>
      <c r="E52" s="83" t="s">
        <v>171</v>
      </c>
      <c r="F52" s="83" t="s">
        <v>108</v>
      </c>
      <c r="G52" s="84" t="s">
        <v>104</v>
      </c>
      <c r="H52" s="85" t="n">
        <f aca="false">IFERROR(--REPLACE(SUBSTITUTE(G52,"T"," "),LEN(G52)-6,6,""),"")</f>
        <v>45809</v>
      </c>
      <c r="I52" s="84" t="s">
        <v>144</v>
      </c>
      <c r="J52" s="85" t="n">
        <f aca="false">IFERROR(--REPLACE(SUBSTITUTE(I52,"T"," "),LEN(I52)-6,6,""),"")</f>
        <v>46174</v>
      </c>
      <c r="K52" s="83"/>
      <c r="L52" s="83" t="s">
        <v>105</v>
      </c>
      <c r="M52" s="83" t="s">
        <v>106</v>
      </c>
      <c r="N52" s="83" t="s">
        <v>522</v>
      </c>
      <c r="O52" s="83" t="s">
        <v>108</v>
      </c>
      <c r="P52" s="83" t="s">
        <v>405</v>
      </c>
      <c r="Q52" s="84" t="s">
        <v>523</v>
      </c>
      <c r="R52" s="85" t="n">
        <f aca="false">IFERROR(--REPLACE(SUBSTITUTE(Q52,"T"," "),LEN(Q52)-6,6,""),"")</f>
        <v>46169</v>
      </c>
      <c r="S52" s="83" t="s">
        <v>111</v>
      </c>
      <c r="T52" s="86" t="n">
        <v>2500</v>
      </c>
      <c r="U52" s="86" t="n">
        <v>0</v>
      </c>
      <c r="V52" s="86" t="n">
        <v>2500</v>
      </c>
      <c r="W52" s="86" t="n">
        <v>0</v>
      </c>
      <c r="X52" s="86" t="n">
        <v>0</v>
      </c>
      <c r="Y52" s="86" t="n">
        <v>0</v>
      </c>
      <c r="Z52" s="86" t="n">
        <v>0</v>
      </c>
      <c r="AA52" s="86" t="n">
        <v>0</v>
      </c>
      <c r="AB52" s="86"/>
      <c r="AC52" s="86" t="n">
        <v>0</v>
      </c>
      <c r="AD52" s="86" t="n">
        <v>0</v>
      </c>
      <c r="AE52" s="86" t="n">
        <v>0</v>
      </c>
      <c r="AF52" s="87"/>
      <c r="AG52" s="87" t="s">
        <v>381</v>
      </c>
      <c r="AH52" s="87" t="s">
        <v>382</v>
      </c>
      <c r="AI52" s="87" t="s">
        <v>177</v>
      </c>
      <c r="AJ52" s="87"/>
      <c r="AK52" s="87"/>
      <c r="AL52" s="87"/>
      <c r="AM52" s="87"/>
      <c r="AN52" s="84" t="s">
        <v>326</v>
      </c>
      <c r="AO52" s="85" t="n">
        <f aca="false">IFERROR(--REPLACE(SUBSTITUTE(AN52,"T"," "),LEN(AN52)-6,6,""),"")</f>
        <v>46177</v>
      </c>
      <c r="AP52" s="83" t="s">
        <v>508</v>
      </c>
      <c r="AQ52" s="84"/>
      <c r="AR52" s="85" t="str">
        <f aca="false">IFERROR(--REPLACE(SUBSTITUTE(AQ52,"T"," "),LEN(AQ52)-6,6,""),"")</f>
        <v/>
      </c>
      <c r="AS52" s="83" t="s">
        <v>524</v>
      </c>
      <c r="AT52" s="83"/>
      <c r="AU52" s="83" t="s">
        <v>195</v>
      </c>
      <c r="AV52" s="83"/>
      <c r="AW52" s="88"/>
      <c r="AX52" s="88"/>
      <c r="AY52" s="83"/>
      <c r="AZ52" s="83"/>
      <c r="BA52" s="83"/>
      <c r="BB52" s="83"/>
      <c r="BC52" s="83"/>
      <c r="BD52" s="83" t="s">
        <v>388</v>
      </c>
      <c r="BE52" s="83" t="s">
        <v>389</v>
      </c>
      <c r="BF52" s="83" t="s">
        <v>123</v>
      </c>
      <c r="BG52" s="88" t="s">
        <v>124</v>
      </c>
      <c r="BH52" s="88" t="s">
        <v>125</v>
      </c>
      <c r="BI52" s="88" t="s">
        <v>125</v>
      </c>
      <c r="BJ52" s="88" t="s">
        <v>126</v>
      </c>
      <c r="BK52" s="83" t="s">
        <v>343</v>
      </c>
      <c r="BL52" s="89" t="n">
        <v>2025</v>
      </c>
      <c r="BM52" s="90" t="n">
        <v>0</v>
      </c>
      <c r="BN52" s="83" t="s">
        <v>525</v>
      </c>
      <c r="BO52" s="91" t="n">
        <f aca="false">IF(SUMPRODUCT(($A$2:$A53=A53)*($N$2:$N53=N53))&gt;1,0,1)</f>
        <v>1</v>
      </c>
    </row>
    <row r="53" customFormat="false" ht="15" hidden="false" customHeight="false" outlineLevel="0" collapsed="false">
      <c r="A53" s="83" t="s">
        <v>97</v>
      </c>
      <c r="B53" s="83" t="s">
        <v>98</v>
      </c>
      <c r="C53" s="83" t="s">
        <v>99</v>
      </c>
      <c r="D53" s="83" t="s">
        <v>100</v>
      </c>
      <c r="E53" s="83" t="s">
        <v>101</v>
      </c>
      <c r="F53" s="83" t="s">
        <v>146</v>
      </c>
      <c r="G53" s="84" t="s">
        <v>144</v>
      </c>
      <c r="H53" s="85" t="n">
        <f aca="false">IFERROR(--REPLACE(SUBSTITUTE(G53,"T"," "),LEN(G53)-6,6,""),"")</f>
        <v>46174</v>
      </c>
      <c r="I53" s="84" t="s">
        <v>324</v>
      </c>
      <c r="J53" s="85" t="n">
        <f aca="false">IFERROR(--REPLACE(SUBSTITUTE(I53,"T"," "),LEN(I53)-6,6,""),"")</f>
        <v>46539</v>
      </c>
      <c r="K53" s="83"/>
      <c r="L53" s="83" t="s">
        <v>105</v>
      </c>
      <c r="M53" s="83" t="s">
        <v>106</v>
      </c>
      <c r="N53" s="83" t="s">
        <v>526</v>
      </c>
      <c r="O53" s="83" t="s">
        <v>146</v>
      </c>
      <c r="P53" s="83" t="s">
        <v>147</v>
      </c>
      <c r="Q53" s="84" t="s">
        <v>527</v>
      </c>
      <c r="R53" s="85" t="n">
        <f aca="false">IFERROR(--REPLACE(SUBSTITUTE(Q53,"T"," "),LEN(Q53)-6,6,""),"")</f>
        <v>46188</v>
      </c>
      <c r="S53" s="83" t="s">
        <v>111</v>
      </c>
      <c r="T53" s="86" t="n">
        <v>2500</v>
      </c>
      <c r="U53" s="86" t="n">
        <v>0</v>
      </c>
      <c r="V53" s="86" t="n">
        <v>2500</v>
      </c>
      <c r="W53" s="86" t="n">
        <v>0</v>
      </c>
      <c r="X53" s="86" t="n">
        <v>0</v>
      </c>
      <c r="Y53" s="86" t="n">
        <v>0</v>
      </c>
      <c r="Z53" s="86" t="n">
        <v>0</v>
      </c>
      <c r="AA53" s="86" t="n">
        <v>0</v>
      </c>
      <c r="AB53" s="86"/>
      <c r="AC53" s="86" t="n">
        <v>0</v>
      </c>
      <c r="AD53" s="86" t="n">
        <v>0</v>
      </c>
      <c r="AE53" s="86" t="n">
        <v>0</v>
      </c>
      <c r="AF53" s="87"/>
      <c r="AG53" s="87" t="s">
        <v>528</v>
      </c>
      <c r="AH53" s="87" t="s">
        <v>286</v>
      </c>
      <c r="AI53" s="87" t="s">
        <v>150</v>
      </c>
      <c r="AJ53" s="87"/>
      <c r="AK53" s="87"/>
      <c r="AL53" s="87"/>
      <c r="AM53" s="87"/>
      <c r="AN53" s="84" t="s">
        <v>527</v>
      </c>
      <c r="AO53" s="85" t="n">
        <f aca="false">IFERROR(--REPLACE(SUBSTITUTE(AN53,"T"," "),LEN(AN53)-6,6,""),"")</f>
        <v>46188</v>
      </c>
      <c r="AP53" s="83" t="s">
        <v>508</v>
      </c>
      <c r="AQ53" s="84"/>
      <c r="AR53" s="85" t="str">
        <f aca="false">IFERROR(--REPLACE(SUBSTITUTE(AQ53,"T"," "),LEN(AQ53)-6,6,""),"")</f>
        <v/>
      </c>
      <c r="AS53" s="83" t="s">
        <v>529</v>
      </c>
      <c r="AT53" s="83" t="s">
        <v>530</v>
      </c>
      <c r="AU53" s="83" t="s">
        <v>139</v>
      </c>
      <c r="AV53" s="83"/>
      <c r="AW53" s="88"/>
      <c r="AX53" s="88"/>
      <c r="AY53" s="83"/>
      <c r="AZ53" s="83"/>
      <c r="BA53" s="83"/>
      <c r="BB53" s="83"/>
      <c r="BC53" s="83"/>
      <c r="BD53" s="83" t="s">
        <v>155</v>
      </c>
      <c r="BE53" s="83" t="s">
        <v>156</v>
      </c>
      <c r="BF53" s="83" t="s">
        <v>123</v>
      </c>
      <c r="BG53" s="88" t="s">
        <v>124</v>
      </c>
      <c r="BH53" s="88" t="s">
        <v>125</v>
      </c>
      <c r="BI53" s="88" t="s">
        <v>125</v>
      </c>
      <c r="BJ53" s="88" t="s">
        <v>126</v>
      </c>
      <c r="BK53" s="83" t="s">
        <v>334</v>
      </c>
      <c r="BL53" s="89" t="n">
        <v>2026</v>
      </c>
      <c r="BM53" s="90" t="n">
        <v>0</v>
      </c>
      <c r="BN53" s="83" t="s">
        <v>531</v>
      </c>
      <c r="BO53" s="91" t="n">
        <f aca="false">IF(SUMPRODUCT(($A$2:$A54=A54)*($N$2:$N54=N54))&gt;1,0,1)</f>
        <v>1</v>
      </c>
    </row>
    <row r="54" customFormat="false" ht="15" hidden="false" customHeight="false" outlineLevel="0" collapsed="false">
      <c r="A54" s="83" t="s">
        <v>97</v>
      </c>
      <c r="B54" s="83" t="s">
        <v>98</v>
      </c>
      <c r="C54" s="83" t="s">
        <v>99</v>
      </c>
      <c r="D54" s="83" t="s">
        <v>100</v>
      </c>
      <c r="E54" s="83" t="s">
        <v>101</v>
      </c>
      <c r="F54" s="83" t="s">
        <v>108</v>
      </c>
      <c r="G54" s="84" t="s">
        <v>104</v>
      </c>
      <c r="H54" s="85" t="n">
        <f aca="false">IFERROR(--REPLACE(SUBSTITUTE(G54,"T"," "),LEN(G54)-6,6,""),"")</f>
        <v>45809</v>
      </c>
      <c r="I54" s="84" t="s">
        <v>144</v>
      </c>
      <c r="J54" s="85" t="n">
        <f aca="false">IFERROR(--REPLACE(SUBSTITUTE(I54,"T"," "),LEN(I54)-6,6,""),"")</f>
        <v>46174</v>
      </c>
      <c r="K54" s="83"/>
      <c r="L54" s="83" t="s">
        <v>105</v>
      </c>
      <c r="M54" s="83" t="s">
        <v>106</v>
      </c>
      <c r="N54" s="83" t="s">
        <v>532</v>
      </c>
      <c r="O54" s="83" t="s">
        <v>146</v>
      </c>
      <c r="P54" s="83" t="s">
        <v>147</v>
      </c>
      <c r="Q54" s="84" t="s">
        <v>533</v>
      </c>
      <c r="R54" s="85" t="n">
        <f aca="false">IFERROR(--REPLACE(SUBSTITUTE(Q54,"T"," "),LEN(Q54)-6,6,""),"")</f>
        <v>46100</v>
      </c>
      <c r="S54" s="83" t="s">
        <v>111</v>
      </c>
      <c r="T54" s="86" t="n">
        <v>2950.04</v>
      </c>
      <c r="U54" s="86" t="n">
        <v>2049.96</v>
      </c>
      <c r="V54" s="86" t="n">
        <v>5000</v>
      </c>
      <c r="W54" s="86" t="n">
        <v>15.5</v>
      </c>
      <c r="X54" s="86" t="n">
        <v>0</v>
      </c>
      <c r="Y54" s="86" t="n">
        <v>0</v>
      </c>
      <c r="Z54" s="86" t="n">
        <v>0</v>
      </c>
      <c r="AA54" s="86" t="n">
        <v>0</v>
      </c>
      <c r="AB54" s="86"/>
      <c r="AC54" s="86" t="n">
        <v>15.5</v>
      </c>
      <c r="AD54" s="86" t="n">
        <v>15.5</v>
      </c>
      <c r="AE54" s="86" t="n">
        <v>0</v>
      </c>
      <c r="AF54" s="87"/>
      <c r="AG54" s="87" t="s">
        <v>534</v>
      </c>
      <c r="AH54" s="87" t="s">
        <v>113</v>
      </c>
      <c r="AI54" s="87" t="s">
        <v>309</v>
      </c>
      <c r="AJ54" s="87"/>
      <c r="AK54" s="87"/>
      <c r="AL54" s="87"/>
      <c r="AM54" s="87"/>
      <c r="AN54" s="84" t="s">
        <v>535</v>
      </c>
      <c r="AO54" s="85" t="n">
        <f aca="false">IFERROR(--REPLACE(SUBSTITUTE(AN54,"T"," "),LEN(AN54)-6,6,""),"")</f>
        <v>46101</v>
      </c>
      <c r="AP54" s="83" t="s">
        <v>508</v>
      </c>
      <c r="AQ54" s="84"/>
      <c r="AR54" s="85" t="str">
        <f aca="false">IFERROR(--REPLACE(SUBSTITUTE(AQ54,"T"," "),LEN(AQ54)-6,6,""),"")</f>
        <v/>
      </c>
      <c r="AS54" s="83" t="s">
        <v>536</v>
      </c>
      <c r="AT54" s="83" t="s">
        <v>537</v>
      </c>
      <c r="AU54" s="83" t="s">
        <v>234</v>
      </c>
      <c r="AV54" s="83"/>
      <c r="AW54" s="88"/>
      <c r="AX54" s="88"/>
      <c r="AY54" s="83"/>
      <c r="AZ54" s="83"/>
      <c r="BA54" s="83"/>
      <c r="BB54" s="83"/>
      <c r="BC54" s="83"/>
      <c r="BD54" s="83" t="s">
        <v>121</v>
      </c>
      <c r="BE54" s="83" t="s">
        <v>122</v>
      </c>
      <c r="BF54" s="83" t="s">
        <v>123</v>
      </c>
      <c r="BG54" s="88" t="s">
        <v>124</v>
      </c>
      <c r="BH54" s="88" t="s">
        <v>125</v>
      </c>
      <c r="BI54" s="88" t="s">
        <v>125</v>
      </c>
      <c r="BJ54" s="88" t="s">
        <v>126</v>
      </c>
      <c r="BK54" s="83" t="s">
        <v>157</v>
      </c>
      <c r="BL54" s="89" t="n">
        <v>2025</v>
      </c>
      <c r="BM54" s="90" t="n">
        <v>0</v>
      </c>
      <c r="BN54" s="83" t="s">
        <v>538</v>
      </c>
      <c r="BO54" s="91" t="n">
        <f aca="false">IF(SUMPRODUCT(($A$2:$A55=A55)*($N$2:$N55=N55))&gt;1,0,1)</f>
        <v>1</v>
      </c>
    </row>
    <row r="55" customFormat="false" ht="15" hidden="false" customHeight="false" outlineLevel="0" collapsed="false">
      <c r="A55" s="83" t="s">
        <v>97</v>
      </c>
      <c r="B55" s="83" t="s">
        <v>98</v>
      </c>
      <c r="C55" s="83"/>
      <c r="D55" s="83" t="s">
        <v>129</v>
      </c>
      <c r="E55" s="83" t="s">
        <v>130</v>
      </c>
      <c r="F55" s="83" t="s">
        <v>108</v>
      </c>
      <c r="G55" s="84" t="s">
        <v>104</v>
      </c>
      <c r="H55" s="85" t="n">
        <f aca="false">IFERROR(--REPLACE(SUBSTITUTE(G55,"T"," "),LEN(G55)-6,6,""),"")</f>
        <v>45809</v>
      </c>
      <c r="I55" s="84" t="s">
        <v>144</v>
      </c>
      <c r="J55" s="85" t="n">
        <f aca="false">IFERROR(--REPLACE(SUBSTITUTE(I55,"T"," "),LEN(I55)-6,6,""),"")</f>
        <v>46174</v>
      </c>
      <c r="K55" s="83"/>
      <c r="L55" s="83" t="s">
        <v>105</v>
      </c>
      <c r="M55" s="83" t="s">
        <v>106</v>
      </c>
      <c r="N55" s="83" t="s">
        <v>539</v>
      </c>
      <c r="O55" s="83" t="s">
        <v>108</v>
      </c>
      <c r="P55" s="83" t="s">
        <v>132</v>
      </c>
      <c r="Q55" s="84" t="s">
        <v>540</v>
      </c>
      <c r="R55" s="85" t="n">
        <f aca="false">IFERROR(--REPLACE(SUBSTITUTE(Q55,"T"," "),LEN(Q55)-6,6,""),"")</f>
        <v>45914</v>
      </c>
      <c r="S55" s="83" t="s">
        <v>111</v>
      </c>
      <c r="T55" s="86" t="n">
        <v>20000</v>
      </c>
      <c r="U55" s="86" t="n">
        <v>0</v>
      </c>
      <c r="V55" s="86" t="n">
        <v>20000</v>
      </c>
      <c r="W55" s="86" t="n">
        <v>0</v>
      </c>
      <c r="X55" s="86" t="n">
        <v>0</v>
      </c>
      <c r="Y55" s="86" t="n">
        <v>0</v>
      </c>
      <c r="Z55" s="86" t="n">
        <v>0</v>
      </c>
      <c r="AA55" s="86" t="n">
        <v>0</v>
      </c>
      <c r="AB55" s="86"/>
      <c r="AC55" s="86" t="n">
        <v>0</v>
      </c>
      <c r="AD55" s="86" t="n">
        <v>0</v>
      </c>
      <c r="AE55" s="86" t="n">
        <v>0</v>
      </c>
      <c r="AF55" s="87"/>
      <c r="AG55" s="87" t="s">
        <v>134</v>
      </c>
      <c r="AH55" s="87" t="s">
        <v>541</v>
      </c>
      <c r="AI55" s="87" t="s">
        <v>542</v>
      </c>
      <c r="AJ55" s="87"/>
      <c r="AK55" s="87"/>
      <c r="AL55" s="87"/>
      <c r="AM55" s="87"/>
      <c r="AN55" s="84" t="s">
        <v>543</v>
      </c>
      <c r="AO55" s="85" t="n">
        <f aca="false">IFERROR(--REPLACE(SUBSTITUTE(AN55,"T"," "),LEN(AN55)-6,6,""),"")</f>
        <v>45940</v>
      </c>
      <c r="AP55" s="83" t="s">
        <v>508</v>
      </c>
      <c r="AQ55" s="84"/>
      <c r="AR55" s="85" t="str">
        <f aca="false">IFERROR(--REPLACE(SUBSTITUTE(AQ55,"T"," "),LEN(AQ55)-6,6,""),"")</f>
        <v/>
      </c>
      <c r="AS55" s="83" t="s">
        <v>509</v>
      </c>
      <c r="AT55" s="83"/>
      <c r="AU55" s="83" t="s">
        <v>544</v>
      </c>
      <c r="AV55" s="83"/>
      <c r="AW55" s="88"/>
      <c r="AX55" s="88"/>
      <c r="AY55" s="83"/>
      <c r="AZ55" s="83"/>
      <c r="BA55" s="83"/>
      <c r="BB55" s="83"/>
      <c r="BC55" s="83"/>
      <c r="BD55" s="83" t="s">
        <v>140</v>
      </c>
      <c r="BE55" s="83" t="s">
        <v>141</v>
      </c>
      <c r="BF55" s="83" t="s">
        <v>123</v>
      </c>
      <c r="BG55" s="88" t="s">
        <v>124</v>
      </c>
      <c r="BH55" s="88" t="s">
        <v>125</v>
      </c>
      <c r="BI55" s="88" t="s">
        <v>125</v>
      </c>
      <c r="BJ55" s="88" t="s">
        <v>126</v>
      </c>
      <c r="BK55" s="83" t="s">
        <v>545</v>
      </c>
      <c r="BL55" s="89" t="n">
        <v>2025</v>
      </c>
      <c r="BM55" s="90" t="n">
        <v>0</v>
      </c>
      <c r="BN55" s="83" t="s">
        <v>546</v>
      </c>
      <c r="BO55" s="91" t="n">
        <f aca="false">IF(SUMPRODUCT(($A$2:$A56=A56)*($N$2:$N56=N56))&gt;1,0,1)</f>
        <v>1</v>
      </c>
    </row>
    <row r="56" customFormat="false" ht="15" hidden="false" customHeight="false" outlineLevel="0" collapsed="false">
      <c r="A56" s="83" t="s">
        <v>97</v>
      </c>
      <c r="B56" s="83" t="s">
        <v>98</v>
      </c>
      <c r="C56" s="83" t="s">
        <v>99</v>
      </c>
      <c r="D56" s="83" t="s">
        <v>100</v>
      </c>
      <c r="E56" s="83" t="s">
        <v>101</v>
      </c>
      <c r="F56" s="83" t="s">
        <v>108</v>
      </c>
      <c r="G56" s="84" t="s">
        <v>104</v>
      </c>
      <c r="H56" s="85" t="n">
        <f aca="false">IFERROR(--REPLACE(SUBSTITUTE(G56,"T"," "),LEN(G56)-6,6,""),"")</f>
        <v>45809</v>
      </c>
      <c r="I56" s="84" t="s">
        <v>144</v>
      </c>
      <c r="J56" s="85" t="n">
        <f aca="false">IFERROR(--REPLACE(SUBSTITUTE(I56,"T"," "),LEN(I56)-6,6,""),"")</f>
        <v>46174</v>
      </c>
      <c r="K56" s="83"/>
      <c r="L56" s="83" t="s">
        <v>105</v>
      </c>
      <c r="M56" s="83" t="s">
        <v>106</v>
      </c>
      <c r="N56" s="83" t="s">
        <v>547</v>
      </c>
      <c r="O56" s="83" t="s">
        <v>146</v>
      </c>
      <c r="P56" s="83" t="s">
        <v>147</v>
      </c>
      <c r="Q56" s="84" t="s">
        <v>548</v>
      </c>
      <c r="R56" s="85" t="n">
        <f aca="false">IFERROR(--REPLACE(SUBSTITUTE(Q56,"T"," "),LEN(Q56)-6,6,""),"")</f>
        <v>46141</v>
      </c>
      <c r="S56" s="83" t="s">
        <v>111</v>
      </c>
      <c r="T56" s="86" t="n">
        <v>19428.45</v>
      </c>
      <c r="U56" s="86" t="n">
        <v>3071.55</v>
      </c>
      <c r="V56" s="86" t="n">
        <v>22500</v>
      </c>
      <c r="W56" s="86" t="n">
        <v>0</v>
      </c>
      <c r="X56" s="86" t="n">
        <v>0</v>
      </c>
      <c r="Y56" s="86" t="n">
        <v>0</v>
      </c>
      <c r="Z56" s="86" t="n">
        <v>0</v>
      </c>
      <c r="AA56" s="86" t="n">
        <v>0</v>
      </c>
      <c r="AB56" s="86"/>
      <c r="AC56" s="86" t="n">
        <v>0</v>
      </c>
      <c r="AD56" s="86" t="n">
        <v>0</v>
      </c>
      <c r="AE56" s="86" t="n">
        <v>0</v>
      </c>
      <c r="AF56" s="87"/>
      <c r="AG56" s="87" t="s">
        <v>549</v>
      </c>
      <c r="AH56" s="87" t="s">
        <v>286</v>
      </c>
      <c r="AI56" s="87" t="s">
        <v>316</v>
      </c>
      <c r="AJ56" s="87"/>
      <c r="AK56" s="87"/>
      <c r="AL56" s="87"/>
      <c r="AM56" s="87"/>
      <c r="AN56" s="84" t="s">
        <v>550</v>
      </c>
      <c r="AO56" s="85" t="n">
        <f aca="false">IFERROR(--REPLACE(SUBSTITUTE(AN56,"T"," "),LEN(AN56)-6,6,""),"")</f>
        <v>46142</v>
      </c>
      <c r="AP56" s="83" t="s">
        <v>508</v>
      </c>
      <c r="AQ56" s="84"/>
      <c r="AR56" s="85" t="str">
        <f aca="false">IFERROR(--REPLACE(SUBSTITUTE(AQ56,"T"," "),LEN(AQ56)-6,6,""),"")</f>
        <v/>
      </c>
      <c r="AS56" s="83" t="s">
        <v>551</v>
      </c>
      <c r="AT56" s="83" t="s">
        <v>552</v>
      </c>
      <c r="AU56" s="83" t="s">
        <v>195</v>
      </c>
      <c r="AV56" s="83"/>
      <c r="AW56" s="88"/>
      <c r="AX56" s="88"/>
      <c r="AY56" s="83"/>
      <c r="AZ56" s="83"/>
      <c r="BA56" s="83"/>
      <c r="BB56" s="83"/>
      <c r="BC56" s="83"/>
      <c r="BD56" s="83" t="s">
        <v>511</v>
      </c>
      <c r="BE56" s="83" t="s">
        <v>512</v>
      </c>
      <c r="BF56" s="83" t="s">
        <v>123</v>
      </c>
      <c r="BG56" s="88" t="s">
        <v>124</v>
      </c>
      <c r="BH56" s="88" t="s">
        <v>125</v>
      </c>
      <c r="BI56" s="88" t="s">
        <v>125</v>
      </c>
      <c r="BJ56" s="88" t="s">
        <v>126</v>
      </c>
      <c r="BK56" s="83" t="s">
        <v>157</v>
      </c>
      <c r="BL56" s="89" t="n">
        <v>2025</v>
      </c>
      <c r="BM56" s="90" t="n">
        <v>0</v>
      </c>
      <c r="BN56" s="83" t="s">
        <v>553</v>
      </c>
      <c r="BO56" s="91" t="n">
        <f aca="false">IF(SUMPRODUCT(($A$2:$A57=A57)*($N$2:$N57=N57))&gt;1,0,1)</f>
        <v>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2" activeCellId="0" sqref="B2"/>
    </sheetView>
  </sheetViews>
  <sheetFormatPr defaultColWidth="8.96484375" defaultRowHeight="15" customHeight="false" zeroHeight="false" outlineLevelRow="0" outlineLevelCol="0"/>
  <cols>
    <col collapsed="false" customWidth="true" hidden="true" outlineLevel="0" max="1" min="1" style="67" width="25.99"/>
    <col collapsed="false" customWidth="true" hidden="false" outlineLevel="0" max="2" min="2" style="67" width="42.14"/>
    <col collapsed="false" customWidth="true" hidden="false" outlineLevel="0" max="3" min="3" style="67" width="25.28"/>
    <col collapsed="false" customWidth="true" hidden="false" outlineLevel="0" max="4" min="4" style="67" width="15.56"/>
    <col collapsed="false" customWidth="true" hidden="false" outlineLevel="0" max="5" min="5" style="71" width="16.56"/>
    <col collapsed="false" customWidth="true" hidden="false" outlineLevel="0" max="6" min="6" style="71" width="16.42"/>
    <col collapsed="false" customWidth="true" hidden="true" outlineLevel="0" max="7" min="7" style="68" width="26.7"/>
    <col collapsed="false" customWidth="true" hidden="false" outlineLevel="0" max="8" min="8" style="69" width="19.41"/>
    <col collapsed="false" customWidth="true" hidden="true" outlineLevel="0" max="9" min="9" style="69" width="27.85"/>
    <col collapsed="false" customWidth="true" hidden="false" outlineLevel="0" max="10" min="10" style="69" width="20.56"/>
    <col collapsed="false" customWidth="true" hidden="false" outlineLevel="0" max="11" min="11" style="67" width="27.28"/>
    <col collapsed="false" customWidth="true" hidden="true" outlineLevel="0" max="12" min="12" style="67" width="17.42"/>
    <col collapsed="false" customWidth="true" hidden="true" outlineLevel="0" max="13" min="13" style="67" width="29.28"/>
    <col collapsed="false" customWidth="true" hidden="false" outlineLevel="0" max="14" min="14" style="67" width="16.99"/>
    <col collapsed="false" customWidth="true" hidden="false" outlineLevel="0" max="15" min="15" style="67" width="17.7"/>
    <col collapsed="false" customWidth="true" hidden="false" outlineLevel="0" max="16" min="16" style="67" width="42.7"/>
    <col collapsed="false" customWidth="true" hidden="false" outlineLevel="0" max="17" min="17" style="67" width="44.28"/>
    <col collapsed="false" customWidth="true" hidden="true" outlineLevel="0" max="18" min="18" style="68" width="16.42"/>
    <col collapsed="false" customWidth="true" hidden="false" outlineLevel="0" max="19" min="19" style="69" width="18.56"/>
    <col collapsed="false" customWidth="true" hidden="false" outlineLevel="0" max="20" min="20" style="67" width="30.28"/>
    <col collapsed="false" customWidth="true" hidden="false" outlineLevel="0" max="21" min="21" style="67" width="35.56"/>
    <col collapsed="false" customWidth="true" hidden="false" outlineLevel="0" max="22" min="22" style="67" width="22.42"/>
    <col collapsed="false" customWidth="true" hidden="false" outlineLevel="0" max="23" min="23" style="67" width="32.41"/>
    <col collapsed="false" customWidth="true" hidden="false" outlineLevel="0" max="24" min="24" style="67" width="33.7"/>
    <col collapsed="false" customWidth="true" hidden="false" outlineLevel="0" max="25" min="25" style="67" width="42.41"/>
    <col collapsed="false" customWidth="true" hidden="false" outlineLevel="0" max="26" min="26" style="67" width="45.56"/>
    <col collapsed="false" customWidth="true" hidden="true" outlineLevel="0" max="27" min="27" style="68" width="21.13"/>
    <col collapsed="false" customWidth="true" hidden="false" outlineLevel="0" max="28" min="28" style="69" width="18.14"/>
    <col collapsed="false" customWidth="true" hidden="false" outlineLevel="0" max="29" min="29" style="67" width="21.13"/>
    <col collapsed="false" customWidth="true" hidden="true" outlineLevel="0" max="30" min="30" style="68" width="24.41"/>
    <col collapsed="false" customWidth="true" hidden="false" outlineLevel="0" max="31" min="31" style="69" width="17.28"/>
    <col collapsed="false" customWidth="true" hidden="false" outlineLevel="0" max="32" min="32" style="71" width="17.28"/>
    <col collapsed="false" customWidth="true" hidden="false" outlineLevel="0" max="33" min="33" style="67" width="18.28"/>
    <col collapsed="false" customWidth="true" hidden="false" outlineLevel="0" max="34" min="34" style="67" width="38.41"/>
    <col collapsed="false" customWidth="true" hidden="false" outlineLevel="0" max="35" min="35" style="67" width="48.7"/>
    <col collapsed="false" customWidth="true" hidden="false" outlineLevel="0" max="36" min="36" style="67" width="34.71"/>
    <col collapsed="false" customWidth="true" hidden="false" outlineLevel="0" max="37" min="37" style="71" width="16.42"/>
    <col collapsed="false" customWidth="true" hidden="true" outlineLevel="0" max="38" min="38" style="67" width="7.42"/>
    <col collapsed="false" customWidth="false" hidden="true" outlineLevel="0" max="39" min="39" style="67" width="8.96"/>
  </cols>
  <sheetData>
    <row r="1" customFormat="false" ht="15" hidden="false" customHeight="false" outlineLevel="0" collapsed="false">
      <c r="A1" s="75" t="s">
        <v>47</v>
      </c>
      <c r="B1" s="75" t="s">
        <v>48</v>
      </c>
      <c r="C1" s="75" t="s">
        <v>16</v>
      </c>
      <c r="D1" s="75" t="s">
        <v>13</v>
      </c>
      <c r="E1" s="80" t="s">
        <v>49</v>
      </c>
      <c r="F1" s="80" t="s">
        <v>50</v>
      </c>
      <c r="G1" s="77" t="s">
        <v>51</v>
      </c>
      <c r="H1" s="78" t="s">
        <v>15</v>
      </c>
      <c r="I1" s="78" t="s">
        <v>52</v>
      </c>
      <c r="J1" s="78" t="s">
        <v>53</v>
      </c>
      <c r="K1" s="75" t="s">
        <v>54</v>
      </c>
      <c r="L1" s="75" t="s">
        <v>55</v>
      </c>
      <c r="M1" s="75" t="s">
        <v>56</v>
      </c>
      <c r="N1" s="75" t="s">
        <v>17</v>
      </c>
      <c r="O1" s="75" t="s">
        <v>57</v>
      </c>
      <c r="P1" s="75" t="s">
        <v>21</v>
      </c>
      <c r="Q1" s="75" t="s">
        <v>58</v>
      </c>
      <c r="R1" s="77" t="s">
        <v>59</v>
      </c>
      <c r="S1" s="78" t="s">
        <v>60</v>
      </c>
      <c r="T1" s="75" t="s">
        <v>18</v>
      </c>
      <c r="U1" s="75" t="s">
        <v>19</v>
      </c>
      <c r="V1" s="75" t="s">
        <v>20</v>
      </c>
      <c r="W1" s="75" t="s">
        <v>74</v>
      </c>
      <c r="X1" s="75" t="s">
        <v>75</v>
      </c>
      <c r="Y1" s="75" t="s">
        <v>76</v>
      </c>
      <c r="Z1" s="75" t="s">
        <v>77</v>
      </c>
      <c r="AA1" s="77" t="s">
        <v>78</v>
      </c>
      <c r="AB1" s="78" t="s">
        <v>42</v>
      </c>
      <c r="AC1" s="75" t="s">
        <v>10</v>
      </c>
      <c r="AD1" s="77" t="s">
        <v>79</v>
      </c>
      <c r="AE1" s="78" t="s">
        <v>43</v>
      </c>
      <c r="AF1" s="75" t="s">
        <v>80</v>
      </c>
      <c r="AG1" s="75" t="s">
        <v>81</v>
      </c>
      <c r="AH1" s="75" t="s">
        <v>22</v>
      </c>
      <c r="AI1" s="75" t="s">
        <v>23</v>
      </c>
      <c r="AJ1" s="75" t="s">
        <v>24</v>
      </c>
      <c r="AK1" s="80" t="s">
        <v>90</v>
      </c>
      <c r="AL1" s="76" t="s">
        <v>91</v>
      </c>
      <c r="AM1" s="75" t="s">
        <v>92</v>
      </c>
    </row>
    <row r="2" customFormat="false" ht="15" hidden="false" customHeight="false" outlineLevel="0" collapsed="false">
      <c r="A2" s="83" t="s">
        <v>97</v>
      </c>
      <c r="B2" s="83" t="s">
        <v>98</v>
      </c>
      <c r="C2" s="83" t="s">
        <v>99</v>
      </c>
      <c r="D2" s="83" t="s">
        <v>100</v>
      </c>
      <c r="E2" s="87" t="s">
        <v>101</v>
      </c>
      <c r="F2" s="87" t="s">
        <v>102</v>
      </c>
      <c r="G2" s="84" t="s">
        <v>103</v>
      </c>
      <c r="H2" s="85" t="n">
        <f aca="false">IFERROR(--REPLACE(SUBSTITUTE(G2,"T"," "),LEN(G2)-6,6,""),"")</f>
        <v>45444</v>
      </c>
      <c r="I2" s="85" t="s">
        <v>104</v>
      </c>
      <c r="J2" s="85" t="n">
        <f aca="false">IFERROR(--REPLACE(SUBSTITUTE(I2,"T"," "),LEN(I2)-6,6,""),"")</f>
        <v>45809</v>
      </c>
      <c r="K2" s="83"/>
      <c r="L2" s="83" t="s">
        <v>105</v>
      </c>
      <c r="M2" s="83" t="s">
        <v>106</v>
      </c>
      <c r="N2" s="83" t="s">
        <v>314</v>
      </c>
      <c r="O2" s="83" t="s">
        <v>108</v>
      </c>
      <c r="P2" s="87" t="s">
        <v>318</v>
      </c>
      <c r="Q2" s="83" t="s">
        <v>109</v>
      </c>
      <c r="R2" s="84" t="s">
        <v>315</v>
      </c>
      <c r="S2" s="85" t="n">
        <f aca="false">IFERROR(--REPLACE(SUBSTITUTE(R2,"T"," "),LEN(R2)-6,6,""),"")</f>
        <v>45451</v>
      </c>
      <c r="T2" s="83"/>
      <c r="U2" s="83"/>
      <c r="V2" s="83"/>
      <c r="W2" s="83"/>
      <c r="X2" s="83"/>
      <c r="Y2" s="83"/>
      <c r="Z2" s="83"/>
      <c r="AA2" s="84" t="s">
        <v>115</v>
      </c>
      <c r="AB2" s="85" t="n">
        <f aca="false">IFERROR(--REPLACE(SUBSTITUTE(AA2,"T"," "),LEN(AA2)-6,6,""),"")</f>
        <v>45453</v>
      </c>
      <c r="AC2" s="83" t="s">
        <v>116</v>
      </c>
      <c r="AD2" s="84" t="s">
        <v>317</v>
      </c>
      <c r="AE2" s="85" t="n">
        <f aca="false">IFERROR(--REPLACE(SUBSTITUTE(AD2,"T"," "),LEN(AD2)-6,6,""),"")</f>
        <v>45504</v>
      </c>
      <c r="AF2" s="87" t="s">
        <v>319</v>
      </c>
      <c r="AG2" s="83" t="s">
        <v>320</v>
      </c>
      <c r="AH2" s="83" t="s">
        <v>554</v>
      </c>
      <c r="AI2" s="83" t="s">
        <v>555</v>
      </c>
      <c r="AJ2" s="83" t="s">
        <v>123</v>
      </c>
      <c r="AK2" s="87" t="s">
        <v>124</v>
      </c>
      <c r="AL2" s="83" t="s">
        <v>125</v>
      </c>
      <c r="AM2" s="83" t="s">
        <v>125</v>
      </c>
    </row>
    <row r="3" customFormat="false" ht="15" hidden="false" customHeight="false" outlineLevel="0" collapsed="false">
      <c r="A3" s="83" t="s">
        <v>97</v>
      </c>
      <c r="B3" s="83" t="s">
        <v>98</v>
      </c>
      <c r="C3" s="83" t="s">
        <v>99</v>
      </c>
      <c r="D3" s="83" t="s">
        <v>100</v>
      </c>
      <c r="E3" s="87" t="s">
        <v>101</v>
      </c>
      <c r="F3" s="87" t="s">
        <v>102</v>
      </c>
      <c r="G3" s="84" t="s">
        <v>103</v>
      </c>
      <c r="H3" s="85" t="n">
        <f aca="false">IFERROR(--REPLACE(SUBSTITUTE(G3,"T"," "),LEN(G3)-6,6,""),"")</f>
        <v>45444</v>
      </c>
      <c r="I3" s="85" t="s">
        <v>104</v>
      </c>
      <c r="J3" s="85" t="n">
        <f aca="false">IFERROR(--REPLACE(SUBSTITUTE(I3,"T"," "),LEN(I3)-6,6,""),"")</f>
        <v>45809</v>
      </c>
      <c r="K3" s="83"/>
      <c r="L3" s="83" t="s">
        <v>105</v>
      </c>
      <c r="M3" s="83" t="s">
        <v>106</v>
      </c>
      <c r="N3" s="83" t="s">
        <v>283</v>
      </c>
      <c r="O3" s="83" t="s">
        <v>108</v>
      </c>
      <c r="P3" s="87" t="s">
        <v>290</v>
      </c>
      <c r="Q3" s="83" t="s">
        <v>109</v>
      </c>
      <c r="R3" s="84" t="s">
        <v>284</v>
      </c>
      <c r="S3" s="85" t="n">
        <f aca="false">IFERROR(--REPLACE(SUBSTITUTE(R3,"T"," "),LEN(R3)-6,6,""),"")</f>
        <v>45506</v>
      </c>
      <c r="T3" s="83"/>
      <c r="U3" s="83"/>
      <c r="V3" s="83"/>
      <c r="W3" s="83"/>
      <c r="X3" s="83"/>
      <c r="Y3" s="83"/>
      <c r="Z3" s="83"/>
      <c r="AA3" s="84" t="s">
        <v>288</v>
      </c>
      <c r="AB3" s="85" t="n">
        <f aca="false">IFERROR(--REPLACE(SUBSTITUTE(AA3,"T"," "),LEN(AA3)-6,6,""),"")</f>
        <v>45509</v>
      </c>
      <c r="AC3" s="83" t="s">
        <v>116</v>
      </c>
      <c r="AD3" s="84" t="s">
        <v>289</v>
      </c>
      <c r="AE3" s="85" t="n">
        <f aca="false">IFERROR(--REPLACE(SUBSTITUTE(AD3,"T"," "),LEN(AD3)-6,6,""),"")</f>
        <v>45574</v>
      </c>
      <c r="AF3" s="87" t="s">
        <v>291</v>
      </c>
      <c r="AG3" s="83" t="s">
        <v>120</v>
      </c>
      <c r="AH3" s="83" t="s">
        <v>556</v>
      </c>
      <c r="AI3" s="83" t="s">
        <v>557</v>
      </c>
      <c r="AJ3" s="83" t="s">
        <v>123</v>
      </c>
      <c r="AK3" s="87" t="s">
        <v>124</v>
      </c>
      <c r="AL3" s="83" t="s">
        <v>125</v>
      </c>
      <c r="AM3" s="83" t="s">
        <v>125</v>
      </c>
    </row>
    <row r="4" customFormat="false" ht="15" hidden="false" customHeight="false" outlineLevel="0" collapsed="false">
      <c r="A4" s="83" t="s">
        <v>97</v>
      </c>
      <c r="B4" s="83" t="s">
        <v>98</v>
      </c>
      <c r="C4" s="83" t="s">
        <v>99</v>
      </c>
      <c r="D4" s="83" t="s">
        <v>100</v>
      </c>
      <c r="E4" s="87" t="s">
        <v>101</v>
      </c>
      <c r="F4" s="87" t="s">
        <v>102</v>
      </c>
      <c r="G4" s="84" t="s">
        <v>103</v>
      </c>
      <c r="H4" s="85" t="n">
        <f aca="false">IFERROR(--REPLACE(SUBSTITUTE(G4,"T"," "),LEN(G4)-6,6,""),"")</f>
        <v>45444</v>
      </c>
      <c r="I4" s="85" t="s">
        <v>104</v>
      </c>
      <c r="J4" s="85" t="n">
        <f aca="false">IFERROR(--REPLACE(SUBSTITUTE(I4,"T"," "),LEN(I4)-6,6,""),"")</f>
        <v>45809</v>
      </c>
      <c r="K4" s="83"/>
      <c r="L4" s="83" t="s">
        <v>105</v>
      </c>
      <c r="M4" s="83" t="s">
        <v>106</v>
      </c>
      <c r="N4" s="83" t="s">
        <v>214</v>
      </c>
      <c r="O4" s="83" t="s">
        <v>108</v>
      </c>
      <c r="P4" s="87" t="s">
        <v>221</v>
      </c>
      <c r="Q4" s="83" t="s">
        <v>109</v>
      </c>
      <c r="R4" s="84" t="s">
        <v>215</v>
      </c>
      <c r="S4" s="85" t="n">
        <f aca="false">IFERROR(--REPLACE(SUBSTITUTE(R4,"T"," "),LEN(R4)-6,6,""),"")</f>
        <v>45524</v>
      </c>
      <c r="T4" s="83"/>
      <c r="U4" s="83"/>
      <c r="V4" s="83"/>
      <c r="W4" s="83"/>
      <c r="X4" s="83"/>
      <c r="Y4" s="83"/>
      <c r="Z4" s="83"/>
      <c r="AA4" s="84" t="s">
        <v>219</v>
      </c>
      <c r="AB4" s="85" t="n">
        <f aca="false">IFERROR(--REPLACE(SUBSTITUTE(AA4,"T"," "),LEN(AA4)-6,6,""),"")</f>
        <v>45530</v>
      </c>
      <c r="AC4" s="83" t="s">
        <v>116</v>
      </c>
      <c r="AD4" s="84" t="s">
        <v>220</v>
      </c>
      <c r="AE4" s="85" t="n">
        <f aca="false">IFERROR(--REPLACE(SUBSTITUTE(AD4,"T"," "),LEN(AD4)-6,6,""),"")</f>
        <v>45581</v>
      </c>
      <c r="AF4" s="87" t="s">
        <v>222</v>
      </c>
      <c r="AG4" s="83" t="s">
        <v>166</v>
      </c>
      <c r="AH4" s="83" t="s">
        <v>558</v>
      </c>
      <c r="AI4" s="83" t="s">
        <v>559</v>
      </c>
      <c r="AJ4" s="83" t="s">
        <v>123</v>
      </c>
      <c r="AK4" s="87" t="s">
        <v>124</v>
      </c>
      <c r="AL4" s="83" t="s">
        <v>125</v>
      </c>
      <c r="AM4" s="83" t="s">
        <v>125</v>
      </c>
    </row>
    <row r="5" customFormat="false" ht="15" hidden="false" customHeight="false" outlineLevel="0" collapsed="false">
      <c r="A5" s="83" t="s">
        <v>97</v>
      </c>
      <c r="B5" s="83" t="s">
        <v>98</v>
      </c>
      <c r="C5" s="83" t="s">
        <v>99</v>
      </c>
      <c r="D5" s="83" t="s">
        <v>100</v>
      </c>
      <c r="E5" s="87" t="s">
        <v>101</v>
      </c>
      <c r="F5" s="87" t="s">
        <v>102</v>
      </c>
      <c r="G5" s="84" t="s">
        <v>103</v>
      </c>
      <c r="H5" s="85" t="n">
        <f aca="false">IFERROR(--REPLACE(SUBSTITUTE(G5,"T"," "),LEN(G5)-6,6,""),"")</f>
        <v>45444</v>
      </c>
      <c r="I5" s="85" t="s">
        <v>104</v>
      </c>
      <c r="J5" s="85" t="n">
        <f aca="false">IFERROR(--REPLACE(SUBSTITUTE(I5,"T"," "),LEN(I5)-6,6,""),"")</f>
        <v>45809</v>
      </c>
      <c r="K5" s="83"/>
      <c r="L5" s="83" t="s">
        <v>105</v>
      </c>
      <c r="M5" s="83" t="s">
        <v>106</v>
      </c>
      <c r="N5" s="83" t="s">
        <v>391</v>
      </c>
      <c r="O5" s="83" t="s">
        <v>108</v>
      </c>
      <c r="P5" s="87" t="s">
        <v>398</v>
      </c>
      <c r="Q5" s="83" t="s">
        <v>109</v>
      </c>
      <c r="R5" s="84" t="s">
        <v>392</v>
      </c>
      <c r="S5" s="85" t="n">
        <f aca="false">IFERROR(--REPLACE(SUBSTITUTE(R5,"T"," "),LEN(R5)-6,6,""),"")</f>
        <v>45542</v>
      </c>
      <c r="T5" s="83"/>
      <c r="U5" s="83"/>
      <c r="V5" s="83"/>
      <c r="W5" s="83"/>
      <c r="X5" s="83"/>
      <c r="Y5" s="83"/>
      <c r="Z5" s="83"/>
      <c r="AA5" s="84" t="s">
        <v>396</v>
      </c>
      <c r="AB5" s="85" t="n">
        <f aca="false">IFERROR(--REPLACE(SUBSTITUTE(AA5,"T"," "),LEN(AA5)-6,6,""),"")</f>
        <v>45544</v>
      </c>
      <c r="AC5" s="83" t="s">
        <v>116</v>
      </c>
      <c r="AD5" s="84" t="s">
        <v>397</v>
      </c>
      <c r="AE5" s="85" t="n">
        <f aca="false">IFERROR(--REPLACE(SUBSTITUTE(AD5,"T"," "),LEN(AD5)-6,6,""),"")</f>
        <v>45694</v>
      </c>
      <c r="AF5" s="87" t="s">
        <v>399</v>
      </c>
      <c r="AG5" s="83" t="s">
        <v>320</v>
      </c>
      <c r="AH5" s="83" t="s">
        <v>560</v>
      </c>
      <c r="AI5" s="83" t="s">
        <v>561</v>
      </c>
      <c r="AJ5" s="83" t="s">
        <v>123</v>
      </c>
      <c r="AK5" s="87" t="s">
        <v>124</v>
      </c>
      <c r="AL5" s="83" t="s">
        <v>125</v>
      </c>
      <c r="AM5" s="83" t="s">
        <v>125</v>
      </c>
    </row>
    <row r="6" customFormat="false" ht="15" hidden="false" customHeight="false" outlineLevel="0" collapsed="false">
      <c r="A6" s="83" t="s">
        <v>97</v>
      </c>
      <c r="B6" s="83" t="s">
        <v>98</v>
      </c>
      <c r="C6" s="83" t="s">
        <v>99</v>
      </c>
      <c r="D6" s="83" t="s">
        <v>100</v>
      </c>
      <c r="E6" s="87" t="s">
        <v>101</v>
      </c>
      <c r="F6" s="87" t="s">
        <v>102</v>
      </c>
      <c r="G6" s="84" t="s">
        <v>103</v>
      </c>
      <c r="H6" s="85" t="n">
        <f aca="false">IFERROR(--REPLACE(SUBSTITUTE(G6,"T"," "),LEN(G6)-6,6,""),"")</f>
        <v>45444</v>
      </c>
      <c r="I6" s="85" t="s">
        <v>104</v>
      </c>
      <c r="J6" s="85" t="n">
        <f aca="false">IFERROR(--REPLACE(SUBSTITUTE(I6,"T"," "),LEN(I6)-6,6,""),"")</f>
        <v>45809</v>
      </c>
      <c r="K6" s="83"/>
      <c r="L6" s="83" t="s">
        <v>105</v>
      </c>
      <c r="M6" s="83" t="s">
        <v>106</v>
      </c>
      <c r="N6" s="83" t="s">
        <v>371</v>
      </c>
      <c r="O6" s="83" t="s">
        <v>108</v>
      </c>
      <c r="P6" s="87" t="s">
        <v>375</v>
      </c>
      <c r="Q6" s="83" t="s">
        <v>109</v>
      </c>
      <c r="R6" s="84" t="s">
        <v>259</v>
      </c>
      <c r="S6" s="85" t="n">
        <f aca="false">IFERROR(--REPLACE(SUBSTITUTE(R6,"T"," "),LEN(R6)-6,6,""),"")</f>
        <v>45638</v>
      </c>
      <c r="T6" s="83"/>
      <c r="U6" s="83"/>
      <c r="V6" s="83"/>
      <c r="W6" s="83"/>
      <c r="X6" s="83"/>
      <c r="Y6" s="83"/>
      <c r="Z6" s="83"/>
      <c r="AA6" s="84" t="s">
        <v>373</v>
      </c>
      <c r="AB6" s="85" t="n">
        <f aca="false">IFERROR(--REPLACE(SUBSTITUTE(AA6,"T"," "),LEN(AA6)-6,6,""),"")</f>
        <v>45642</v>
      </c>
      <c r="AC6" s="83" t="s">
        <v>116</v>
      </c>
      <c r="AD6" s="84" t="s">
        <v>374</v>
      </c>
      <c r="AE6" s="85" t="n">
        <f aca="false">IFERROR(--REPLACE(SUBSTITUTE(AD6,"T"," "),LEN(AD6)-6,6,""),"")</f>
        <v>45711</v>
      </c>
      <c r="AF6" s="87" t="s">
        <v>376</v>
      </c>
      <c r="AG6" s="83" t="s">
        <v>234</v>
      </c>
      <c r="AH6" s="83" t="s">
        <v>554</v>
      </c>
      <c r="AI6" s="83" t="s">
        <v>555</v>
      </c>
      <c r="AJ6" s="83" t="s">
        <v>123</v>
      </c>
      <c r="AK6" s="87" t="s">
        <v>124</v>
      </c>
      <c r="AL6" s="83" t="s">
        <v>125</v>
      </c>
      <c r="AM6" s="83" t="s">
        <v>125</v>
      </c>
    </row>
    <row r="7" customFormat="false" ht="15" hidden="false" customHeight="false" outlineLevel="0" collapsed="false">
      <c r="A7" s="83" t="s">
        <v>97</v>
      </c>
      <c r="B7" s="83" t="s">
        <v>98</v>
      </c>
      <c r="C7" s="83" t="s">
        <v>99</v>
      </c>
      <c r="D7" s="83" t="s">
        <v>100</v>
      </c>
      <c r="E7" s="87" t="s">
        <v>101</v>
      </c>
      <c r="F7" s="87" t="s">
        <v>108</v>
      </c>
      <c r="G7" s="84" t="s">
        <v>104</v>
      </c>
      <c r="H7" s="85" t="n">
        <f aca="false">IFERROR(--REPLACE(SUBSTITUTE(G7,"T"," "),LEN(G7)-6,6,""),"")</f>
        <v>45809</v>
      </c>
      <c r="I7" s="85" t="s">
        <v>144</v>
      </c>
      <c r="J7" s="85" t="n">
        <f aca="false">IFERROR(--REPLACE(SUBSTITUTE(I7,"T"," "),LEN(I7)-6,6,""),"")</f>
        <v>46174</v>
      </c>
      <c r="K7" s="83"/>
      <c r="L7" s="83" t="s">
        <v>105</v>
      </c>
      <c r="M7" s="83" t="s">
        <v>106</v>
      </c>
      <c r="N7" s="83" t="s">
        <v>305</v>
      </c>
      <c r="O7" s="83" t="s">
        <v>108</v>
      </c>
      <c r="P7" s="87" t="s">
        <v>312</v>
      </c>
      <c r="Q7" s="83" t="s">
        <v>109</v>
      </c>
      <c r="R7" s="84" t="s">
        <v>306</v>
      </c>
      <c r="S7" s="85" t="n">
        <f aca="false">IFERROR(--REPLACE(SUBSTITUTE(R7,"T"," "),LEN(R7)-6,6,""),"")</f>
        <v>45882</v>
      </c>
      <c r="T7" s="83"/>
      <c r="U7" s="83"/>
      <c r="V7" s="83"/>
      <c r="W7" s="83"/>
      <c r="X7" s="83"/>
      <c r="Y7" s="83"/>
      <c r="Z7" s="83"/>
      <c r="AA7" s="84" t="s">
        <v>310</v>
      </c>
      <c r="AB7" s="85" t="n">
        <f aca="false">IFERROR(--REPLACE(SUBSTITUTE(AA7,"T"," "),LEN(AA7)-6,6,""),"")</f>
        <v>45883</v>
      </c>
      <c r="AC7" s="83" t="s">
        <v>116</v>
      </c>
      <c r="AD7" s="84" t="s">
        <v>311</v>
      </c>
      <c r="AE7" s="85" t="n">
        <f aca="false">IFERROR(--REPLACE(SUBSTITUTE(AD7,"T"," "),LEN(AD7)-6,6,""),"")</f>
        <v>45945</v>
      </c>
      <c r="AF7" s="87" t="s">
        <v>291</v>
      </c>
      <c r="AG7" s="83" t="s">
        <v>195</v>
      </c>
      <c r="AH7" s="83" t="s">
        <v>558</v>
      </c>
      <c r="AI7" s="83" t="s">
        <v>559</v>
      </c>
      <c r="AJ7" s="83" t="s">
        <v>123</v>
      </c>
      <c r="AK7" s="87" t="s">
        <v>124</v>
      </c>
      <c r="AL7" s="83" t="s">
        <v>125</v>
      </c>
      <c r="AM7" s="83" t="s">
        <v>125</v>
      </c>
    </row>
    <row r="8" customFormat="false" ht="15" hidden="false" customHeight="false" outlineLevel="0" collapsed="false">
      <c r="A8" s="83" t="s">
        <v>97</v>
      </c>
      <c r="B8" s="83" t="s">
        <v>98</v>
      </c>
      <c r="C8" s="83" t="s">
        <v>99</v>
      </c>
      <c r="D8" s="83" t="s">
        <v>100</v>
      </c>
      <c r="E8" s="87" t="s">
        <v>101</v>
      </c>
      <c r="F8" s="87" t="s">
        <v>108</v>
      </c>
      <c r="G8" s="84" t="s">
        <v>104</v>
      </c>
      <c r="H8" s="85" t="n">
        <f aca="false">IFERROR(--REPLACE(SUBSTITUTE(G8,"T"," "),LEN(G8)-6,6,""),"")</f>
        <v>45809</v>
      </c>
      <c r="I8" s="85" t="s">
        <v>144</v>
      </c>
      <c r="J8" s="85" t="n">
        <f aca="false">IFERROR(--REPLACE(SUBSTITUTE(I8,"T"," "),LEN(I8)-6,6,""),"")</f>
        <v>46174</v>
      </c>
      <c r="K8" s="83"/>
      <c r="L8" s="83" t="s">
        <v>105</v>
      </c>
      <c r="M8" s="83" t="s">
        <v>106</v>
      </c>
      <c r="N8" s="83" t="s">
        <v>293</v>
      </c>
      <c r="O8" s="83" t="s">
        <v>108</v>
      </c>
      <c r="P8" s="87" t="s">
        <v>300</v>
      </c>
      <c r="Q8" s="83" t="s">
        <v>109</v>
      </c>
      <c r="R8" s="84" t="s">
        <v>294</v>
      </c>
      <c r="S8" s="85" t="n">
        <f aca="false">IFERROR(--REPLACE(SUBSTITUTE(R8,"T"," "),LEN(R8)-6,6,""),"")</f>
        <v>45916</v>
      </c>
      <c r="T8" s="83"/>
      <c r="U8" s="83"/>
      <c r="V8" s="83"/>
      <c r="W8" s="83"/>
      <c r="X8" s="83"/>
      <c r="Y8" s="83"/>
      <c r="Z8" s="83"/>
      <c r="AA8" s="84" t="s">
        <v>298</v>
      </c>
      <c r="AB8" s="85" t="n">
        <f aca="false">IFERROR(--REPLACE(SUBSTITUTE(AA8,"T"," "),LEN(AA8)-6,6,""),"")</f>
        <v>45918</v>
      </c>
      <c r="AC8" s="83" t="s">
        <v>116</v>
      </c>
      <c r="AD8" s="84" t="s">
        <v>299</v>
      </c>
      <c r="AE8" s="85" t="n">
        <f aca="false">IFERROR(--REPLACE(SUBSTITUTE(AD8,"T"," "),LEN(AD8)-6,6,""),"")</f>
        <v>46008</v>
      </c>
      <c r="AF8" s="87" t="s">
        <v>301</v>
      </c>
      <c r="AG8" s="83" t="s">
        <v>166</v>
      </c>
      <c r="AH8" s="83" t="s">
        <v>562</v>
      </c>
      <c r="AI8" s="83" t="s">
        <v>563</v>
      </c>
      <c r="AJ8" s="83" t="s">
        <v>123</v>
      </c>
      <c r="AK8" s="87" t="s">
        <v>124</v>
      </c>
      <c r="AL8" s="83" t="s">
        <v>125</v>
      </c>
      <c r="AM8" s="83" t="s">
        <v>125</v>
      </c>
    </row>
    <row r="9" customFormat="false" ht="15" hidden="false" customHeight="false" outlineLevel="0" collapsed="false">
      <c r="A9" s="83" t="s">
        <v>97</v>
      </c>
      <c r="B9" s="83" t="s">
        <v>98</v>
      </c>
      <c r="C9" s="83" t="s">
        <v>99</v>
      </c>
      <c r="D9" s="83" t="s">
        <v>100</v>
      </c>
      <c r="E9" s="87" t="s">
        <v>101</v>
      </c>
      <c r="F9" s="87" t="s">
        <v>108</v>
      </c>
      <c r="G9" s="84" t="s">
        <v>104</v>
      </c>
      <c r="H9" s="85" t="n">
        <f aca="false">IFERROR(--REPLACE(SUBSTITUTE(G9,"T"," "),LEN(G9)-6,6,""),"")</f>
        <v>45809</v>
      </c>
      <c r="I9" s="85" t="s">
        <v>144</v>
      </c>
      <c r="J9" s="85" t="n">
        <f aca="false">IFERROR(--REPLACE(SUBSTITUTE(I9,"T"," "),LEN(I9)-6,6,""),"")</f>
        <v>46174</v>
      </c>
      <c r="K9" s="83"/>
      <c r="L9" s="83" t="s">
        <v>105</v>
      </c>
      <c r="M9" s="83" t="s">
        <v>106</v>
      </c>
      <c r="N9" s="83" t="s">
        <v>145</v>
      </c>
      <c r="O9" s="83" t="s">
        <v>108</v>
      </c>
      <c r="P9" s="87" t="s">
        <v>153</v>
      </c>
      <c r="Q9" s="83" t="s">
        <v>109</v>
      </c>
      <c r="R9" s="84" t="s">
        <v>148</v>
      </c>
      <c r="S9" s="85" t="n">
        <f aca="false">IFERROR(--REPLACE(SUBSTITUTE(R9,"T"," "),LEN(R9)-6,6,""),"")</f>
        <v>45919</v>
      </c>
      <c r="T9" s="83"/>
      <c r="U9" s="83"/>
      <c r="V9" s="83"/>
      <c r="W9" s="83"/>
      <c r="X9" s="83"/>
      <c r="Y9" s="83"/>
      <c r="Z9" s="83"/>
      <c r="AA9" s="84" t="s">
        <v>151</v>
      </c>
      <c r="AB9" s="85" t="n">
        <f aca="false">IFERROR(--REPLACE(SUBSTITUTE(AA9,"T"," "),LEN(AA9)-6,6,""),"")</f>
        <v>45922</v>
      </c>
      <c r="AC9" s="83" t="s">
        <v>116</v>
      </c>
      <c r="AD9" s="84" t="s">
        <v>152</v>
      </c>
      <c r="AE9" s="85" t="n">
        <f aca="false">IFERROR(--REPLACE(SUBSTITUTE(AD9,"T"," "),LEN(AD9)-6,6,""),"")</f>
        <v>45986</v>
      </c>
      <c r="AF9" s="87" t="s">
        <v>154</v>
      </c>
      <c r="AG9" s="83" t="s">
        <v>120</v>
      </c>
      <c r="AH9" s="83" t="s">
        <v>556</v>
      </c>
      <c r="AI9" s="83" t="s">
        <v>557</v>
      </c>
      <c r="AJ9" s="83" t="s">
        <v>123</v>
      </c>
      <c r="AK9" s="87" t="s">
        <v>124</v>
      </c>
      <c r="AL9" s="83" t="s">
        <v>125</v>
      </c>
      <c r="AM9" s="83" t="s">
        <v>125</v>
      </c>
    </row>
    <row r="10" customFormat="false" ht="15" hidden="false" customHeight="false" outlineLevel="0" collapsed="false">
      <c r="A10" s="83" t="s">
        <v>97</v>
      </c>
      <c r="B10" s="83" t="s">
        <v>98</v>
      </c>
      <c r="C10" s="83"/>
      <c r="D10" s="83" t="s">
        <v>129</v>
      </c>
      <c r="E10" s="87" t="s">
        <v>130</v>
      </c>
      <c r="F10" s="87" t="s">
        <v>108</v>
      </c>
      <c r="G10" s="84" t="s">
        <v>104</v>
      </c>
      <c r="H10" s="85" t="n">
        <f aca="false">IFERROR(--REPLACE(SUBSTITUTE(G10,"T"," "),LEN(G10)-6,6,""),"")</f>
        <v>45809</v>
      </c>
      <c r="I10" s="85" t="s">
        <v>144</v>
      </c>
      <c r="J10" s="85" t="n">
        <f aca="false">IFERROR(--REPLACE(SUBSTITUTE(I10,"T"," "),LEN(I10)-6,6,""),"")</f>
        <v>46174</v>
      </c>
      <c r="K10" s="83"/>
      <c r="L10" s="83" t="s">
        <v>105</v>
      </c>
      <c r="M10" s="83" t="s">
        <v>106</v>
      </c>
      <c r="N10" s="83" t="s">
        <v>564</v>
      </c>
      <c r="O10" s="83"/>
      <c r="P10" s="87"/>
      <c r="Q10" s="83"/>
      <c r="R10" s="84" t="s">
        <v>565</v>
      </c>
      <c r="S10" s="85" t="n">
        <f aca="false">IFERROR(--REPLACE(SUBSTITUTE(R10,"T"," "),LEN(R10)-6,6,""),"")</f>
        <v>45964</v>
      </c>
      <c r="T10" s="83" t="s">
        <v>566</v>
      </c>
      <c r="U10" s="83" t="s">
        <v>567</v>
      </c>
      <c r="V10" s="83" t="s">
        <v>568</v>
      </c>
      <c r="W10" s="83"/>
      <c r="X10" s="83"/>
      <c r="Y10" s="83"/>
      <c r="Z10" s="83"/>
      <c r="AA10" s="84" t="s">
        <v>569</v>
      </c>
      <c r="AB10" s="85" t="n">
        <f aca="false">IFERROR(--REPLACE(SUBSTITUTE(AA10,"T"," "),LEN(AA10)-6,6,""),"")</f>
        <v>45974</v>
      </c>
      <c r="AC10" s="83" t="s">
        <v>116</v>
      </c>
      <c r="AD10" s="84" t="s">
        <v>570</v>
      </c>
      <c r="AE10" s="85" t="n">
        <f aca="false">IFERROR(--REPLACE(SUBSTITUTE(AD10,"T"," "),LEN(AD10)-6,6,""),"")</f>
        <v>46000</v>
      </c>
      <c r="AF10" s="87"/>
      <c r="AG10" s="83" t="s">
        <v>139</v>
      </c>
      <c r="AH10" s="83"/>
      <c r="AI10" s="83"/>
      <c r="AJ10" s="83"/>
      <c r="AK10" s="87" t="s">
        <v>124</v>
      </c>
      <c r="AL10" s="83" t="s">
        <v>125</v>
      </c>
      <c r="AM10" s="83"/>
    </row>
    <row r="11" customFormat="false" ht="15" hidden="false" customHeight="false" outlineLevel="0" collapsed="false">
      <c r="A11" s="83" t="s">
        <v>97</v>
      </c>
      <c r="B11" s="83" t="s">
        <v>98</v>
      </c>
      <c r="C11" s="83" t="s">
        <v>99</v>
      </c>
      <c r="D11" s="83" t="s">
        <v>100</v>
      </c>
      <c r="E11" s="87" t="s">
        <v>101</v>
      </c>
      <c r="F11" s="87" t="s">
        <v>108</v>
      </c>
      <c r="G11" s="84" t="s">
        <v>104</v>
      </c>
      <c r="H11" s="85" t="n">
        <f aca="false">IFERROR(--REPLACE(SUBSTITUTE(G11,"T"," "),LEN(G11)-6,6,""),"")</f>
        <v>45809</v>
      </c>
      <c r="I11" s="85" t="s">
        <v>144</v>
      </c>
      <c r="J11" s="85" t="n">
        <f aca="false">IFERROR(--REPLACE(SUBSTITUTE(I11,"T"," "),LEN(I11)-6,6,""),"")</f>
        <v>46174</v>
      </c>
      <c r="K11" s="83"/>
      <c r="L11" s="83" t="s">
        <v>105</v>
      </c>
      <c r="M11" s="83" t="s">
        <v>106</v>
      </c>
      <c r="N11" s="83" t="s">
        <v>159</v>
      </c>
      <c r="O11" s="83" t="s">
        <v>108</v>
      </c>
      <c r="P11" s="87" t="s">
        <v>165</v>
      </c>
      <c r="Q11" s="83" t="s">
        <v>109</v>
      </c>
      <c r="R11" s="84" t="s">
        <v>160</v>
      </c>
      <c r="S11" s="85" t="n">
        <f aca="false">IFERROR(--REPLACE(SUBSTITUTE(R11,"T"," "),LEN(R11)-6,6,""),"")</f>
        <v>46112</v>
      </c>
      <c r="T11" s="83"/>
      <c r="U11" s="83"/>
      <c r="V11" s="83"/>
      <c r="W11" s="83"/>
      <c r="X11" s="83"/>
      <c r="Y11" s="83"/>
      <c r="Z11" s="83"/>
      <c r="AA11" s="84" t="s">
        <v>163</v>
      </c>
      <c r="AB11" s="85" t="n">
        <f aca="false">IFERROR(--REPLACE(SUBSTITUTE(AA11,"T"," "),LEN(AA11)-6,6,""),"")</f>
        <v>46134</v>
      </c>
      <c r="AC11" s="83" t="s">
        <v>116</v>
      </c>
      <c r="AD11" s="84" t="s">
        <v>164</v>
      </c>
      <c r="AE11" s="85" t="n">
        <f aca="false">IFERROR(--REPLACE(SUBSTITUTE(AD11,"T"," "),LEN(AD11)-6,6,""),"")</f>
        <v>46204</v>
      </c>
      <c r="AF11" s="87" t="s">
        <v>154</v>
      </c>
      <c r="AG11" s="83" t="s">
        <v>166</v>
      </c>
      <c r="AH11" s="83" t="s">
        <v>571</v>
      </c>
      <c r="AI11" s="83" t="s">
        <v>572</v>
      </c>
      <c r="AJ11" s="83" t="s">
        <v>123</v>
      </c>
      <c r="AK11" s="87" t="s">
        <v>124</v>
      </c>
      <c r="AL11" s="83" t="s">
        <v>125</v>
      </c>
      <c r="AM11" s="83" t="s">
        <v>125</v>
      </c>
    </row>
    <row r="12" customFormat="false" ht="15" hidden="false" customHeight="false" outlineLevel="0" collapsed="false">
      <c r="A12" s="83" t="s">
        <v>97</v>
      </c>
      <c r="B12" s="83" t="s">
        <v>98</v>
      </c>
      <c r="C12" s="83" t="s">
        <v>99</v>
      </c>
      <c r="D12" s="83" t="s">
        <v>100</v>
      </c>
      <c r="E12" s="87" t="s">
        <v>101</v>
      </c>
      <c r="F12" s="87" t="s">
        <v>146</v>
      </c>
      <c r="G12" s="84" t="s">
        <v>144</v>
      </c>
      <c r="H12" s="85" t="n">
        <f aca="false">IFERROR(--REPLACE(SUBSTITUTE(G12,"T"," "),LEN(G12)-6,6,""),"")</f>
        <v>46174</v>
      </c>
      <c r="I12" s="85" t="s">
        <v>324</v>
      </c>
      <c r="J12" s="85" t="n">
        <f aca="false">IFERROR(--REPLACE(SUBSTITUTE(I12,"T"," "),LEN(I12)-6,6,""),"")</f>
        <v>46539</v>
      </c>
      <c r="K12" s="83"/>
      <c r="L12" s="83" t="s">
        <v>105</v>
      </c>
      <c r="M12" s="83" t="s">
        <v>106</v>
      </c>
      <c r="N12" s="83" t="s">
        <v>325</v>
      </c>
      <c r="O12" s="83" t="s">
        <v>108</v>
      </c>
      <c r="P12" s="87" t="s">
        <v>330</v>
      </c>
      <c r="Q12" s="83" t="s">
        <v>109</v>
      </c>
      <c r="R12" s="84" t="s">
        <v>326</v>
      </c>
      <c r="S12" s="85" t="n">
        <f aca="false">IFERROR(--REPLACE(SUBSTITUTE(R12,"T"," "),LEN(R12)-6,6,""),"")</f>
        <v>46177</v>
      </c>
      <c r="T12" s="83"/>
      <c r="U12" s="83"/>
      <c r="V12" s="83"/>
      <c r="W12" s="83"/>
      <c r="X12" s="83"/>
      <c r="Y12" s="83"/>
      <c r="Z12" s="83"/>
      <c r="AA12" s="84" t="s">
        <v>326</v>
      </c>
      <c r="AB12" s="85" t="n">
        <f aca="false">IFERROR(--REPLACE(SUBSTITUTE(AA12,"T"," "),LEN(AA12)-6,6,""),"")</f>
        <v>46177</v>
      </c>
      <c r="AC12" s="83" t="s">
        <v>116</v>
      </c>
      <c r="AD12" s="84" t="s">
        <v>329</v>
      </c>
      <c r="AE12" s="85" t="n">
        <f aca="false">IFERROR(--REPLACE(SUBSTITUTE(AD12,"T"," "),LEN(AD12)-6,6,""),"")</f>
        <v>46230</v>
      </c>
      <c r="AF12" s="87" t="s">
        <v>331</v>
      </c>
      <c r="AG12" s="83" t="s">
        <v>234</v>
      </c>
      <c r="AH12" s="83" t="s">
        <v>573</v>
      </c>
      <c r="AI12" s="83" t="s">
        <v>574</v>
      </c>
      <c r="AJ12" s="83" t="s">
        <v>123</v>
      </c>
      <c r="AK12" s="87" t="s">
        <v>124</v>
      </c>
      <c r="AL12" s="83" t="s">
        <v>125</v>
      </c>
      <c r="AM12" s="83" t="s">
        <v>125</v>
      </c>
    </row>
    <row r="13" customFormat="false" ht="15" hidden="false" customHeight="false" outlineLevel="0" collapsed="false">
      <c r="A13" s="83" t="s">
        <v>97</v>
      </c>
      <c r="B13" s="83" t="s">
        <v>98</v>
      </c>
      <c r="C13" s="83" t="s">
        <v>99</v>
      </c>
      <c r="D13" s="83" t="s">
        <v>100</v>
      </c>
      <c r="E13" s="87" t="s">
        <v>101</v>
      </c>
      <c r="F13" s="87" t="s">
        <v>108</v>
      </c>
      <c r="G13" s="84" t="s">
        <v>104</v>
      </c>
      <c r="H13" s="85" t="n">
        <f aca="false">IFERROR(--REPLACE(SUBSTITUTE(G13,"T"," "),LEN(G13)-6,6,""),"")</f>
        <v>45809</v>
      </c>
      <c r="I13" s="85" t="s">
        <v>144</v>
      </c>
      <c r="J13" s="85" t="n">
        <f aca="false">IFERROR(--REPLACE(SUBSTITUTE(I13,"T"," "),LEN(I13)-6,6,""),"")</f>
        <v>46174</v>
      </c>
      <c r="K13" s="83"/>
      <c r="L13" s="83" t="s">
        <v>105</v>
      </c>
      <c r="M13" s="83" t="s">
        <v>106</v>
      </c>
      <c r="N13" s="83" t="s">
        <v>502</v>
      </c>
      <c r="O13" s="83" t="s">
        <v>108</v>
      </c>
      <c r="P13" s="87" t="s">
        <v>509</v>
      </c>
      <c r="Q13" s="83" t="s">
        <v>109</v>
      </c>
      <c r="R13" s="84" t="s">
        <v>503</v>
      </c>
      <c r="S13" s="85" t="n">
        <f aca="false">IFERROR(--REPLACE(SUBSTITUTE(R13,"T"," "),LEN(R13)-6,6,""),"")</f>
        <v>45989</v>
      </c>
      <c r="T13" s="83"/>
      <c r="U13" s="83"/>
      <c r="V13" s="83"/>
      <c r="W13" s="83"/>
      <c r="X13" s="83"/>
      <c r="Y13" s="83"/>
      <c r="Z13" s="83"/>
      <c r="AA13" s="84" t="s">
        <v>507</v>
      </c>
      <c r="AB13" s="85" t="n">
        <f aca="false">IFERROR(--REPLACE(SUBSTITUTE(AA13,"T"," "),LEN(AA13)-6,6,""),"")</f>
        <v>46010</v>
      </c>
      <c r="AC13" s="83" t="s">
        <v>508</v>
      </c>
      <c r="AD13" s="84"/>
      <c r="AE13" s="85" t="str">
        <f aca="false">IFERROR(--REPLACE(SUBSTITUTE(AD13,"T"," "),LEN(AD13)-6,6,""),"")</f>
        <v/>
      </c>
      <c r="AF13" s="87" t="s">
        <v>510</v>
      </c>
      <c r="AG13" s="83" t="s">
        <v>120</v>
      </c>
      <c r="AH13" s="83" t="s">
        <v>575</v>
      </c>
      <c r="AI13" s="83" t="s">
        <v>576</v>
      </c>
      <c r="AJ13" s="83" t="s">
        <v>123</v>
      </c>
      <c r="AK13" s="87" t="s">
        <v>124</v>
      </c>
      <c r="AL13" s="83" t="s">
        <v>125</v>
      </c>
      <c r="AM13" s="83" t="s">
        <v>125</v>
      </c>
    </row>
    <row r="14" customFormat="false" ht="15" hidden="false" customHeight="false" outlineLevel="0" collapsed="false">
      <c r="A14" s="83" t="s">
        <v>97</v>
      </c>
      <c r="B14" s="83" t="s">
        <v>98</v>
      </c>
      <c r="C14" s="83" t="s">
        <v>99</v>
      </c>
      <c r="D14" s="83" t="s">
        <v>100</v>
      </c>
      <c r="E14" s="87" t="s">
        <v>101</v>
      </c>
      <c r="F14" s="87" t="s">
        <v>108</v>
      </c>
      <c r="G14" s="84" t="s">
        <v>104</v>
      </c>
      <c r="H14" s="85" t="n">
        <f aca="false">IFERROR(--REPLACE(SUBSTITUTE(G14,"T"," "),LEN(G14)-6,6,""),"")</f>
        <v>45809</v>
      </c>
      <c r="I14" s="85" t="s">
        <v>144</v>
      </c>
      <c r="J14" s="85" t="n">
        <f aca="false">IFERROR(--REPLACE(SUBSTITUTE(I14,"T"," "),LEN(I14)-6,6,""),"")</f>
        <v>46174</v>
      </c>
      <c r="K14" s="83"/>
      <c r="L14" s="83" t="s">
        <v>105</v>
      </c>
      <c r="M14" s="83" t="s">
        <v>106</v>
      </c>
      <c r="N14" s="83" t="s">
        <v>532</v>
      </c>
      <c r="O14" s="83" t="s">
        <v>108</v>
      </c>
      <c r="P14" s="87" t="s">
        <v>536</v>
      </c>
      <c r="Q14" s="83" t="s">
        <v>109</v>
      </c>
      <c r="R14" s="84" t="s">
        <v>533</v>
      </c>
      <c r="S14" s="85" t="n">
        <f aca="false">IFERROR(--REPLACE(SUBSTITUTE(R14,"T"," "),LEN(R14)-6,6,""),"")</f>
        <v>46100</v>
      </c>
      <c r="T14" s="83"/>
      <c r="U14" s="83"/>
      <c r="V14" s="83"/>
      <c r="W14" s="83"/>
      <c r="X14" s="83"/>
      <c r="Y14" s="83"/>
      <c r="Z14" s="83"/>
      <c r="AA14" s="84" t="s">
        <v>535</v>
      </c>
      <c r="AB14" s="85" t="n">
        <f aca="false">IFERROR(--REPLACE(SUBSTITUTE(AA14,"T"," "),LEN(AA14)-6,6,""),"")</f>
        <v>46101</v>
      </c>
      <c r="AC14" s="83" t="s">
        <v>508</v>
      </c>
      <c r="AD14" s="84"/>
      <c r="AE14" s="85" t="str">
        <f aca="false">IFERROR(--REPLACE(SUBSTITUTE(AD14,"T"," "),LEN(AD14)-6,6,""),"")</f>
        <v/>
      </c>
      <c r="AF14" s="87" t="s">
        <v>537</v>
      </c>
      <c r="AG14" s="83" t="s">
        <v>234</v>
      </c>
      <c r="AH14" s="83" t="s">
        <v>577</v>
      </c>
      <c r="AI14" s="83" t="s">
        <v>578</v>
      </c>
      <c r="AJ14" s="83" t="s">
        <v>123</v>
      </c>
      <c r="AK14" s="87" t="s">
        <v>124</v>
      </c>
      <c r="AL14" s="83" t="s">
        <v>125</v>
      </c>
      <c r="AM14" s="83" t="s">
        <v>125</v>
      </c>
    </row>
    <row r="15" customFormat="false" ht="15" hidden="false" customHeight="false" outlineLevel="0" collapsed="false">
      <c r="A15" s="83" t="s">
        <v>97</v>
      </c>
      <c r="B15" s="83" t="s">
        <v>98</v>
      </c>
      <c r="C15" s="83" t="s">
        <v>99</v>
      </c>
      <c r="D15" s="83" t="s">
        <v>100</v>
      </c>
      <c r="E15" s="87" t="s">
        <v>101</v>
      </c>
      <c r="F15" s="87" t="s">
        <v>108</v>
      </c>
      <c r="G15" s="84" t="s">
        <v>104</v>
      </c>
      <c r="H15" s="85" t="n">
        <f aca="false">IFERROR(--REPLACE(SUBSTITUTE(G15,"T"," "),LEN(G15)-6,6,""),"")</f>
        <v>45809</v>
      </c>
      <c r="I15" s="85" t="s">
        <v>144</v>
      </c>
      <c r="J15" s="85" t="n">
        <f aca="false">IFERROR(--REPLACE(SUBSTITUTE(I15,"T"," "),LEN(I15)-6,6,""),"")</f>
        <v>46174</v>
      </c>
      <c r="K15" s="83"/>
      <c r="L15" s="83" t="s">
        <v>105</v>
      </c>
      <c r="M15" s="83" t="s">
        <v>106</v>
      </c>
      <c r="N15" s="83" t="s">
        <v>547</v>
      </c>
      <c r="O15" s="83" t="s">
        <v>108</v>
      </c>
      <c r="P15" s="87" t="s">
        <v>551</v>
      </c>
      <c r="Q15" s="83" t="s">
        <v>109</v>
      </c>
      <c r="R15" s="84" t="s">
        <v>548</v>
      </c>
      <c r="S15" s="85" t="n">
        <f aca="false">IFERROR(--REPLACE(SUBSTITUTE(R15,"T"," "),LEN(R15)-6,6,""),"")</f>
        <v>46141</v>
      </c>
      <c r="T15" s="83"/>
      <c r="U15" s="83"/>
      <c r="V15" s="83"/>
      <c r="W15" s="83"/>
      <c r="X15" s="83"/>
      <c r="Y15" s="83"/>
      <c r="Z15" s="83"/>
      <c r="AA15" s="84" t="s">
        <v>550</v>
      </c>
      <c r="AB15" s="85" t="n">
        <f aca="false">IFERROR(--REPLACE(SUBSTITUTE(AA15,"T"," "),LEN(AA15)-6,6,""),"")</f>
        <v>46142</v>
      </c>
      <c r="AC15" s="83" t="s">
        <v>508</v>
      </c>
      <c r="AD15" s="84"/>
      <c r="AE15" s="85" t="str">
        <f aca="false">IFERROR(--REPLACE(SUBSTITUTE(AD15,"T"," "),LEN(AD15)-6,6,""),"")</f>
        <v/>
      </c>
      <c r="AF15" s="87" t="s">
        <v>552</v>
      </c>
      <c r="AG15" s="83" t="s">
        <v>195</v>
      </c>
      <c r="AH15" s="83" t="s">
        <v>575</v>
      </c>
      <c r="AI15" s="83" t="s">
        <v>576</v>
      </c>
      <c r="AJ15" s="83" t="s">
        <v>123</v>
      </c>
      <c r="AK15" s="87" t="s">
        <v>124</v>
      </c>
      <c r="AL15" s="83" t="s">
        <v>125</v>
      </c>
      <c r="AM15" s="83" t="s">
        <v>125</v>
      </c>
    </row>
    <row r="16" customFormat="false" ht="15" hidden="false" customHeight="false" outlineLevel="0" collapsed="false">
      <c r="A16" s="83" t="s">
        <v>97</v>
      </c>
      <c r="B16" s="83" t="s">
        <v>98</v>
      </c>
      <c r="C16" s="83" t="s">
        <v>99</v>
      </c>
      <c r="D16" s="83" t="s">
        <v>100</v>
      </c>
      <c r="E16" s="87" t="s">
        <v>101</v>
      </c>
      <c r="F16" s="87" t="s">
        <v>108</v>
      </c>
      <c r="G16" s="84" t="s">
        <v>104</v>
      </c>
      <c r="H16" s="85" t="n">
        <f aca="false">IFERROR(--REPLACE(SUBSTITUTE(G16,"T"," "),LEN(G16)-6,6,""),"")</f>
        <v>45809</v>
      </c>
      <c r="I16" s="85" t="s">
        <v>144</v>
      </c>
      <c r="J16" s="85" t="n">
        <f aca="false">IFERROR(--REPLACE(SUBSTITUTE(I16,"T"," "),LEN(I16)-6,6,""),"")</f>
        <v>46174</v>
      </c>
      <c r="K16" s="83"/>
      <c r="L16" s="83" t="s">
        <v>105</v>
      </c>
      <c r="M16" s="83" t="s">
        <v>106</v>
      </c>
      <c r="N16" s="83" t="s">
        <v>514</v>
      </c>
      <c r="O16" s="83" t="s">
        <v>108</v>
      </c>
      <c r="P16" s="87" t="s">
        <v>519</v>
      </c>
      <c r="Q16" s="83" t="s">
        <v>109</v>
      </c>
      <c r="R16" s="84" t="s">
        <v>515</v>
      </c>
      <c r="S16" s="85" t="n">
        <f aca="false">IFERROR(--REPLACE(SUBSTITUTE(R16,"T"," "),LEN(R16)-6,6,""),"")</f>
        <v>46161</v>
      </c>
      <c r="T16" s="83"/>
      <c r="U16" s="83"/>
      <c r="V16" s="83"/>
      <c r="W16" s="83"/>
      <c r="X16" s="83"/>
      <c r="Y16" s="83"/>
      <c r="Z16" s="83"/>
      <c r="AA16" s="84" t="s">
        <v>518</v>
      </c>
      <c r="AB16" s="85" t="n">
        <f aca="false">IFERROR(--REPLACE(SUBSTITUTE(AA16,"T"," "),LEN(AA16)-6,6,""),"")</f>
        <v>46162</v>
      </c>
      <c r="AC16" s="83" t="s">
        <v>508</v>
      </c>
      <c r="AD16" s="84"/>
      <c r="AE16" s="85" t="str">
        <f aca="false">IFERROR(--REPLACE(SUBSTITUTE(AD16,"T"," "),LEN(AD16)-6,6,""),"")</f>
        <v/>
      </c>
      <c r="AF16" s="87" t="s">
        <v>520</v>
      </c>
      <c r="AG16" s="83" t="s">
        <v>166</v>
      </c>
      <c r="AH16" s="83" t="s">
        <v>562</v>
      </c>
      <c r="AI16" s="83" t="s">
        <v>563</v>
      </c>
      <c r="AJ16" s="83" t="s">
        <v>123</v>
      </c>
      <c r="AK16" s="87" t="s">
        <v>124</v>
      </c>
      <c r="AL16" s="83" t="s">
        <v>125</v>
      </c>
      <c r="AM16" s="83" t="s">
        <v>125</v>
      </c>
    </row>
    <row r="17" customFormat="false" ht="15" hidden="false" customHeight="false" outlineLevel="0" collapsed="false">
      <c r="A17" s="83" t="s">
        <v>97</v>
      </c>
      <c r="B17" s="83" t="s">
        <v>98</v>
      </c>
      <c r="C17" s="83" t="s">
        <v>99</v>
      </c>
      <c r="D17" s="83" t="s">
        <v>100</v>
      </c>
      <c r="E17" s="87" t="s">
        <v>101</v>
      </c>
      <c r="F17" s="87" t="s">
        <v>146</v>
      </c>
      <c r="G17" s="84" t="s">
        <v>144</v>
      </c>
      <c r="H17" s="85" t="n">
        <f aca="false">IFERROR(--REPLACE(SUBSTITUTE(G17,"T"," "),LEN(G17)-6,6,""),"")</f>
        <v>46174</v>
      </c>
      <c r="I17" s="85" t="s">
        <v>324</v>
      </c>
      <c r="J17" s="85" t="n">
        <f aca="false">IFERROR(--REPLACE(SUBSTITUTE(I17,"T"," "),LEN(I17)-6,6,""),"")</f>
        <v>46539</v>
      </c>
      <c r="K17" s="83"/>
      <c r="L17" s="83" t="s">
        <v>105</v>
      </c>
      <c r="M17" s="83" t="s">
        <v>106</v>
      </c>
      <c r="N17" s="83" t="s">
        <v>526</v>
      </c>
      <c r="O17" s="83" t="s">
        <v>108</v>
      </c>
      <c r="P17" s="87" t="s">
        <v>529</v>
      </c>
      <c r="Q17" s="83" t="s">
        <v>109</v>
      </c>
      <c r="R17" s="84" t="s">
        <v>527</v>
      </c>
      <c r="S17" s="85" t="n">
        <f aca="false">IFERROR(--REPLACE(SUBSTITUTE(R17,"T"," "),LEN(R17)-6,6,""),"")</f>
        <v>46188</v>
      </c>
      <c r="T17" s="83"/>
      <c r="U17" s="83"/>
      <c r="V17" s="83"/>
      <c r="W17" s="83"/>
      <c r="X17" s="83"/>
      <c r="Y17" s="83"/>
      <c r="Z17" s="83"/>
      <c r="AA17" s="84" t="s">
        <v>527</v>
      </c>
      <c r="AB17" s="85" t="n">
        <f aca="false">IFERROR(--REPLACE(SUBSTITUTE(AA17,"T"," "),LEN(AA17)-6,6,""),"")</f>
        <v>46188</v>
      </c>
      <c r="AC17" s="83" t="s">
        <v>508</v>
      </c>
      <c r="AD17" s="84"/>
      <c r="AE17" s="85" t="str">
        <f aca="false">IFERROR(--REPLACE(SUBSTITUTE(AD17,"T"," "),LEN(AD17)-6,6,""),"")</f>
        <v/>
      </c>
      <c r="AF17" s="87" t="s">
        <v>530</v>
      </c>
      <c r="AG17" s="83" t="s">
        <v>139</v>
      </c>
      <c r="AH17" s="83" t="s">
        <v>556</v>
      </c>
      <c r="AI17" s="83" t="s">
        <v>557</v>
      </c>
      <c r="AJ17" s="83" t="s">
        <v>123</v>
      </c>
      <c r="AK17" s="87" t="s">
        <v>124</v>
      </c>
      <c r="AL17" s="83" t="s">
        <v>125</v>
      </c>
      <c r="AM17" s="83" t="s">
        <v>125</v>
      </c>
    </row>
    <row r="18" customFormat="false" ht="15" hidden="false" customHeight="false" outlineLevel="0" collapsed="false">
      <c r="A18" s="83" t="s">
        <v>97</v>
      </c>
      <c r="B18" s="83" t="s">
        <v>98</v>
      </c>
      <c r="C18" s="83" t="s">
        <v>99</v>
      </c>
      <c r="D18" s="83" t="s">
        <v>100</v>
      </c>
      <c r="E18" s="87" t="s">
        <v>101</v>
      </c>
      <c r="F18" s="87" t="s">
        <v>146</v>
      </c>
      <c r="G18" s="84" t="s">
        <v>144</v>
      </c>
      <c r="H18" s="85" t="n">
        <f aca="false">IFERROR(--REPLACE(SUBSTITUTE(G18,"T"," "),LEN(G18)-6,6,""),"")</f>
        <v>46174</v>
      </c>
      <c r="I18" s="85" t="s">
        <v>324</v>
      </c>
      <c r="J18" s="85" t="n">
        <f aca="false">IFERROR(--REPLACE(SUBSTITUTE(I18,"T"," "),LEN(I18)-6,6,""),"")</f>
        <v>46539</v>
      </c>
      <c r="K18" s="83"/>
      <c r="L18" s="83" t="s">
        <v>105</v>
      </c>
      <c r="M18" s="83" t="s">
        <v>106</v>
      </c>
      <c r="N18" s="83" t="s">
        <v>579</v>
      </c>
      <c r="O18" s="83" t="s">
        <v>108</v>
      </c>
      <c r="P18" s="87" t="s">
        <v>580</v>
      </c>
      <c r="Q18" s="83" t="s">
        <v>109</v>
      </c>
      <c r="R18" s="84" t="s">
        <v>581</v>
      </c>
      <c r="S18" s="85" t="n">
        <f aca="false">IFERROR(--REPLACE(SUBSTITUTE(R18,"T"," "),LEN(R18)-6,6,""),"")</f>
        <v>46239</v>
      </c>
      <c r="T18" s="83"/>
      <c r="U18" s="83"/>
      <c r="V18" s="83"/>
      <c r="W18" s="83"/>
      <c r="X18" s="83"/>
      <c r="Y18" s="83"/>
      <c r="Z18" s="83"/>
      <c r="AA18" s="84" t="s">
        <v>582</v>
      </c>
      <c r="AB18" s="85" t="n">
        <f aca="false">IFERROR(--REPLACE(SUBSTITUTE(AA18,"T"," "),LEN(AA18)-6,6,""),"")</f>
        <v>46240</v>
      </c>
      <c r="AC18" s="83" t="s">
        <v>508</v>
      </c>
      <c r="AD18" s="84"/>
      <c r="AE18" s="85" t="str">
        <f aca="false">IFERROR(--REPLACE(SUBSTITUTE(AD18,"T"," "),LEN(AD18)-6,6,""),"")</f>
        <v/>
      </c>
      <c r="AF18" s="87" t="s">
        <v>583</v>
      </c>
      <c r="AG18" s="83" t="s">
        <v>195</v>
      </c>
      <c r="AH18" s="83" t="s">
        <v>584</v>
      </c>
      <c r="AI18" s="83" t="s">
        <v>585</v>
      </c>
      <c r="AJ18" s="83" t="s">
        <v>123</v>
      </c>
      <c r="AK18" s="87" t="s">
        <v>124</v>
      </c>
      <c r="AL18" s="83" t="s">
        <v>125</v>
      </c>
      <c r="AM18" s="83" t="s">
        <v>125</v>
      </c>
    </row>
    <row r="19" customFormat="false" ht="15" hidden="false" customHeight="false" outlineLevel="0" collapsed="false">
      <c r="A19" s="83" t="s">
        <v>97</v>
      </c>
      <c r="B19" s="83" t="s">
        <v>98</v>
      </c>
      <c r="C19" s="83" t="s">
        <v>99</v>
      </c>
      <c r="D19" s="83" t="s">
        <v>100</v>
      </c>
      <c r="E19" s="87" t="s">
        <v>101</v>
      </c>
      <c r="F19" s="87" t="s">
        <v>146</v>
      </c>
      <c r="G19" s="84" t="s">
        <v>144</v>
      </c>
      <c r="H19" s="85" t="n">
        <f aca="false">IFERROR(--REPLACE(SUBSTITUTE(G19,"T"," "),LEN(G19)-6,6,""),"")</f>
        <v>46174</v>
      </c>
      <c r="I19" s="85" t="s">
        <v>324</v>
      </c>
      <c r="J19" s="85" t="n">
        <f aca="false">IFERROR(--REPLACE(SUBSTITUTE(I19,"T"," "),LEN(I19)-6,6,""),"")</f>
        <v>46539</v>
      </c>
      <c r="K19" s="83"/>
      <c r="L19" s="83" t="s">
        <v>105</v>
      </c>
      <c r="M19" s="83" t="s">
        <v>106</v>
      </c>
      <c r="N19" s="83" t="s">
        <v>579</v>
      </c>
      <c r="O19" s="83" t="s">
        <v>146</v>
      </c>
      <c r="P19" s="87" t="s">
        <v>580</v>
      </c>
      <c r="Q19" s="83" t="s">
        <v>147</v>
      </c>
      <c r="R19" s="84" t="s">
        <v>581</v>
      </c>
      <c r="S19" s="85" t="n">
        <f aca="false">IFERROR(--REPLACE(SUBSTITUTE(R19,"T"," "),LEN(R19)-6,6,""),"")</f>
        <v>46239</v>
      </c>
      <c r="T19" s="83"/>
      <c r="U19" s="83"/>
      <c r="V19" s="83"/>
      <c r="W19" s="83"/>
      <c r="X19" s="83"/>
      <c r="Y19" s="83"/>
      <c r="Z19" s="83"/>
      <c r="AA19" s="84" t="s">
        <v>582</v>
      </c>
      <c r="AB19" s="85" t="n">
        <f aca="false">IFERROR(--REPLACE(SUBSTITUTE(AA19,"T"," "),LEN(AA19)-6,6,""),"")</f>
        <v>46240</v>
      </c>
      <c r="AC19" s="83" t="s">
        <v>508</v>
      </c>
      <c r="AD19" s="84"/>
      <c r="AE19" s="85" t="str">
        <f aca="false">IFERROR(--REPLACE(SUBSTITUTE(AD19,"T"," "),LEN(AD19)-6,6,""),"")</f>
        <v/>
      </c>
      <c r="AF19" s="87" t="s">
        <v>583</v>
      </c>
      <c r="AG19" s="83" t="s">
        <v>195</v>
      </c>
      <c r="AH19" s="83" t="s">
        <v>584</v>
      </c>
      <c r="AI19" s="83" t="s">
        <v>585</v>
      </c>
      <c r="AJ19" s="83" t="s">
        <v>123</v>
      </c>
      <c r="AK19" s="87" t="s">
        <v>124</v>
      </c>
      <c r="AL19" s="83" t="s">
        <v>125</v>
      </c>
      <c r="AM19" s="83" t="s">
        <v>125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96484375" defaultRowHeight="15" customHeight="false" zeroHeight="false" outlineLevelRow="0" outlineLevelCol="0"/>
  <cols>
    <col collapsed="false" customWidth="true" hidden="false" outlineLevel="0" max="2" min="1" style="67" width="27.56"/>
    <col collapsed="false" customWidth="true" hidden="false" outlineLevel="0" max="3" min="3" style="67" width="36.7"/>
  </cols>
  <sheetData>
    <row r="1" customFormat="false" ht="15" hidden="false" customHeight="false" outlineLevel="0" collapsed="false">
      <c r="A1" s="75" t="s">
        <v>47</v>
      </c>
      <c r="B1" s="75" t="s">
        <v>2</v>
      </c>
      <c r="C1" s="75" t="s">
        <v>586</v>
      </c>
    </row>
    <row r="2" customFormat="false" ht="15" hidden="false" customHeight="false" outlineLevel="0" collapsed="false">
      <c r="A2" s="83" t="s">
        <v>97</v>
      </c>
      <c r="B2" s="83" t="s">
        <v>587</v>
      </c>
      <c r="C2" s="83" t="s">
        <v>588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1" activeCellId="0" sqref="A11"/>
    </sheetView>
  </sheetViews>
  <sheetFormatPr defaultColWidth="8.96484375" defaultRowHeight="15" customHeight="false" zeroHeight="false" outlineLevelRow="0" outlineLevelCol="0"/>
  <cols>
    <col collapsed="false" customWidth="true" hidden="false" outlineLevel="0" max="1" min="1" style="0" width="29.41"/>
    <col collapsed="false" customWidth="true" hidden="false" outlineLevel="0" max="2" min="2" style="0" width="56.14"/>
    <col collapsed="false" customWidth="true" hidden="false" outlineLevel="0" max="3" min="3" style="0" width="18.28"/>
  </cols>
  <sheetData>
    <row r="1" customFormat="false" ht="15" hidden="false" customHeight="false" outlineLevel="0" collapsed="false">
      <c r="A1" s="92" t="s">
        <v>589</v>
      </c>
      <c r="B1" s="93"/>
    </row>
    <row r="2" customFormat="false" ht="15.75" hidden="false" customHeight="true" outlineLevel="0" collapsed="false">
      <c r="A2" s="92" t="s">
        <v>590</v>
      </c>
      <c r="B2" s="94"/>
    </row>
    <row r="3" customFormat="false" ht="15" hidden="false" customHeight="false" outlineLevel="0" collapsed="false">
      <c r="A3" s="92" t="s">
        <v>591</v>
      </c>
      <c r="B3" s="93"/>
    </row>
    <row r="4" customFormat="false" ht="15" hidden="false" customHeight="false" outlineLevel="0" collapsed="false">
      <c r="A4" s="92" t="s">
        <v>592</v>
      </c>
      <c r="B4" s="95"/>
    </row>
    <row r="5" customFormat="false" ht="15" hidden="false" customHeight="false" outlineLevel="0" collapsed="false">
      <c r="A5" s="92" t="s">
        <v>593</v>
      </c>
      <c r="B5" s="95" t="s">
        <v>594</v>
      </c>
    </row>
    <row r="6" customFormat="false" ht="15" hidden="false" customHeight="false" outlineLevel="0" collapsed="false">
      <c r="A6" s="92" t="s">
        <v>595</v>
      </c>
      <c r="B6" s="95"/>
    </row>
    <row r="7" customFormat="false" ht="15" hidden="false" customHeight="false" outlineLevel="0" collapsed="false">
      <c r="A7" s="92" t="s">
        <v>596</v>
      </c>
      <c r="B7" s="96"/>
    </row>
    <row r="8" customFormat="false" ht="15" hidden="false" customHeight="false" outlineLevel="0" collapsed="false">
      <c r="A8" s="92" t="s">
        <v>597</v>
      </c>
      <c r="B8" s="93" t="s">
        <v>598</v>
      </c>
    </row>
    <row r="10" customFormat="false" ht="15" hidden="false" customHeight="false" outlineLevel="0" collapsed="false">
      <c r="A10" s="97" t="s">
        <v>599</v>
      </c>
      <c r="B10" s="98"/>
    </row>
    <row r="11" customFormat="false" ht="15" hidden="false" customHeight="false" outlineLevel="0" collapsed="false">
      <c r="A11" s="0" t="s">
        <v>600</v>
      </c>
      <c r="B11" s="0" t="s">
        <v>601</v>
      </c>
    </row>
    <row r="12" customFormat="false" ht="15" hidden="false" customHeight="false" outlineLevel="0" collapsed="false">
      <c r="A12" s="0" t="s">
        <v>602</v>
      </c>
      <c r="B12" s="0" t="s">
        <v>603</v>
      </c>
    </row>
    <row r="13" customFormat="false" ht="19.5" hidden="false" customHeight="true" outlineLevel="0" collapsed="false">
      <c r="A13" s="0" t="s">
        <v>604</v>
      </c>
      <c r="B13" s="99" t="s">
        <v>605</v>
      </c>
      <c r="C13" s="0" t="s">
        <v>606</v>
      </c>
    </row>
    <row r="14" customFormat="false" ht="18.75" hidden="false" customHeight="true" outlineLevel="0" collapsed="false">
      <c r="A14" s="0" t="s">
        <v>607</v>
      </c>
      <c r="B14" s="0" t="s">
        <v>608</v>
      </c>
    </row>
    <row r="15" customFormat="false" ht="19.5" hidden="false" customHeight="true" outlineLevel="0" collapsed="false">
      <c r="A15" s="0" t="s">
        <v>609</v>
      </c>
      <c r="B15" s="0" t="s">
        <v>610</v>
      </c>
    </row>
    <row r="16" customFormat="false" ht="14.25" hidden="false" customHeight="true" outlineLevel="0" collapsed="false">
      <c r="A16" s="100" t="s">
        <v>611</v>
      </c>
      <c r="B16" s="100" t="s">
        <v>612</v>
      </c>
    </row>
    <row r="17" customFormat="false" ht="14.25" hidden="false" customHeight="true" outlineLevel="0" collapsed="false">
      <c r="A17" s="100" t="s">
        <v>613</v>
      </c>
      <c r="B17" s="100" t="s">
        <v>614</v>
      </c>
    </row>
    <row r="18" customFormat="false" ht="14.25" hidden="false" customHeight="true" outlineLevel="0" collapsed="false">
      <c r="A18" s="100" t="s">
        <v>615</v>
      </c>
      <c r="B18" s="100" t="s">
        <v>616</v>
      </c>
    </row>
    <row r="19" customFormat="false" ht="14.25" hidden="false" customHeight="true" outlineLevel="0" collapsed="false">
      <c r="A19" s="100" t="s">
        <v>617</v>
      </c>
      <c r="B19" s="100" t="s">
        <v>618</v>
      </c>
    </row>
    <row r="20" customFormat="false" ht="14.25" hidden="false" customHeight="true" outlineLevel="0" collapsed="false">
      <c r="A20" s="100" t="s">
        <v>619</v>
      </c>
      <c r="B20" s="100" t="s">
        <v>620</v>
      </c>
    </row>
    <row r="21" customFormat="false" ht="14.25" hidden="false" customHeight="true" outlineLevel="0" collapsed="false">
      <c r="A21" s="100" t="s">
        <v>621</v>
      </c>
      <c r="B21" s="100" t="s">
        <v>622</v>
      </c>
    </row>
    <row r="22" customFormat="false" ht="14.25" hidden="false" customHeight="true" outlineLevel="0" collapsed="false">
      <c r="A22" s="100" t="s">
        <v>623</v>
      </c>
      <c r="B22" s="100" t="s">
        <v>624</v>
      </c>
    </row>
    <row r="23" customFormat="false" ht="14.25" hidden="false" customHeight="true" outlineLevel="0" collapsed="false">
      <c r="A23" s="100" t="s">
        <v>625</v>
      </c>
      <c r="B23" s="100" t="s">
        <v>626</v>
      </c>
    </row>
    <row r="24" customFormat="false" ht="14.25" hidden="false" customHeight="true" outlineLevel="0" collapsed="false">
      <c r="A24" s="100" t="s">
        <v>627</v>
      </c>
      <c r="B24" s="100" t="s">
        <v>628</v>
      </c>
    </row>
    <row r="25" customFormat="false" ht="14.25" hidden="false" customHeight="true" outlineLevel="0" collapsed="false">
      <c r="A25" s="100" t="s">
        <v>629</v>
      </c>
      <c r="B25" s="100" t="s">
        <v>630</v>
      </c>
    </row>
    <row r="26" customFormat="false" ht="14.25" hidden="false" customHeight="true" outlineLevel="0" collapsed="false">
      <c r="A26" s="100" t="s">
        <v>631</v>
      </c>
      <c r="B26" s="100" t="s">
        <v>632</v>
      </c>
    </row>
    <row r="27" customFormat="false" ht="14.25" hidden="false" customHeight="true" outlineLevel="0" collapsed="false">
      <c r="A27" s="100" t="s">
        <v>633</v>
      </c>
      <c r="B27" s="100" t="s">
        <v>634</v>
      </c>
    </row>
    <row r="28" customFormat="false" ht="14.25" hidden="false" customHeight="true" outlineLevel="0" collapsed="false">
      <c r="A28" s="100" t="s">
        <v>635</v>
      </c>
      <c r="B28" s="100" t="s">
        <v>636</v>
      </c>
    </row>
    <row r="29" customFormat="false" ht="14.25" hidden="false" customHeight="true" outlineLevel="0" collapsed="false">
      <c r="A29" s="100" t="s">
        <v>637</v>
      </c>
      <c r="B29" s="100" t="s">
        <v>638</v>
      </c>
    </row>
    <row r="30" customFormat="false" ht="14.25" hidden="false" customHeight="true" outlineLevel="0" collapsed="false">
      <c r="A30" s="100" t="s">
        <v>639</v>
      </c>
      <c r="B30" s="100" t="s">
        <v>640</v>
      </c>
    </row>
    <row r="31" customFormat="false" ht="14.25" hidden="false" customHeight="true" outlineLevel="0" collapsed="false">
      <c r="A31" s="100" t="s">
        <v>641</v>
      </c>
      <c r="B31" s="100" t="s">
        <v>642</v>
      </c>
    </row>
    <row r="32" customFormat="false" ht="14.25" hidden="false" customHeight="true" outlineLevel="0" collapsed="false">
      <c r="A32" s="100" t="s">
        <v>643</v>
      </c>
      <c r="B32" s="100" t="s">
        <v>644</v>
      </c>
    </row>
    <row r="33" customFormat="false" ht="14.25" hidden="false" customHeight="true" outlineLevel="0" collapsed="false">
      <c r="A33" s="100" t="s">
        <v>645</v>
      </c>
      <c r="B33" s="100" t="s">
        <v>646</v>
      </c>
    </row>
    <row r="34" customFormat="false" ht="14.25" hidden="false" customHeight="true" outlineLevel="0" collapsed="false">
      <c r="A34" s="100" t="s">
        <v>647</v>
      </c>
      <c r="B34" s="100" t="s">
        <v>648</v>
      </c>
    </row>
    <row r="35" customFormat="false" ht="15" hidden="false" customHeight="false" outlineLevel="0" collapsed="false">
      <c r="A35" s="0" t="s">
        <v>649</v>
      </c>
      <c r="B35" s="0" t="s">
        <v>650</v>
      </c>
    </row>
    <row r="36" customFormat="false" ht="15" hidden="false" customHeight="false" outlineLevel="0" collapsed="false">
      <c r="A36" s="0" t="s">
        <v>651</v>
      </c>
      <c r="B36" s="0" t="s">
        <v>652</v>
      </c>
    </row>
    <row r="37" customFormat="false" ht="15" hidden="false" customHeight="false" outlineLevel="0" collapsed="false">
      <c r="A37" s="0" t="s">
        <v>653</v>
      </c>
      <c r="B37" s="0" t="s">
        <v>654</v>
      </c>
    </row>
    <row r="38" customFormat="false" ht="15" hidden="false" customHeight="false" outlineLevel="0" collapsed="false">
      <c r="A38" s="0" t="s">
        <v>655</v>
      </c>
      <c r="B38" s="0" t="s">
        <v>656</v>
      </c>
    </row>
    <row r="39" customFormat="false" ht="15" hidden="false" customHeight="false" outlineLevel="0" collapsed="false">
      <c r="A39" s="0" t="s">
        <v>657</v>
      </c>
      <c r="B39" s="0" t="s">
        <v>658</v>
      </c>
    </row>
    <row r="40" customFormat="false" ht="15" hidden="false" customHeight="false" outlineLevel="0" collapsed="false">
      <c r="A40" s="0" t="s">
        <v>659</v>
      </c>
      <c r="B40" s="0" t="s">
        <v>660</v>
      </c>
    </row>
    <row r="41" customFormat="false" ht="15" hidden="false" customHeight="false" outlineLevel="0" collapsed="false">
      <c r="A41" s="0" t="s">
        <v>661</v>
      </c>
      <c r="B41" s="0" t="s">
        <v>662</v>
      </c>
    </row>
    <row r="42" customFormat="false" ht="15" hidden="false" customHeight="false" outlineLevel="0" collapsed="false">
      <c r="A42" s="0" t="s">
        <v>663</v>
      </c>
      <c r="B42" s="0" t="s">
        <v>664</v>
      </c>
    </row>
    <row r="43" customFormat="false" ht="15" hidden="false" customHeight="false" outlineLevel="0" collapsed="false">
      <c r="A43" s="0" t="s">
        <v>665</v>
      </c>
      <c r="B43" s="0" t="s">
        <v>666</v>
      </c>
    </row>
    <row r="44" customFormat="false" ht="15" hidden="false" customHeight="false" outlineLevel="0" collapsed="false">
      <c r="A44" s="0" t="s">
        <v>667</v>
      </c>
      <c r="B44" s="0" t="s">
        <v>668</v>
      </c>
    </row>
    <row r="45" customFormat="false" ht="15" hidden="false" customHeight="false" outlineLevel="0" collapsed="false">
      <c r="A45" s="0" t="s">
        <v>669</v>
      </c>
      <c r="B45" s="0" t="s">
        <v>670</v>
      </c>
    </row>
    <row r="46" customFormat="false" ht="15" hidden="false" customHeight="false" outlineLevel="0" collapsed="false">
      <c r="A46" s="0" t="s">
        <v>671</v>
      </c>
      <c r="B46" s="0" t="s">
        <v>672</v>
      </c>
      <c r="C46" s="0" t="s">
        <v>606</v>
      </c>
    </row>
    <row r="47" customFormat="false" ht="15" hidden="false" customHeight="false" outlineLevel="0" collapsed="false">
      <c r="A47" s="0" t="s">
        <v>673</v>
      </c>
      <c r="B47" s="0" t="s">
        <v>674</v>
      </c>
    </row>
    <row r="48" customFormat="false" ht="15" hidden="false" customHeight="false" outlineLevel="0" collapsed="false">
      <c r="A48" s="0" t="s">
        <v>675</v>
      </c>
      <c r="B48" s="0" t="s">
        <v>608</v>
      </c>
    </row>
    <row r="49" customFormat="false" ht="15" hidden="false" customHeight="false" outlineLevel="0" collapsed="false">
      <c r="A49" s="0" t="s">
        <v>676</v>
      </c>
      <c r="B49" s="0" t="s">
        <v>610</v>
      </c>
    </row>
    <row r="50" customFormat="false" ht="15" hidden="false" customHeight="false" outlineLevel="0" collapsed="false">
      <c r="A50" s="0" t="s">
        <v>677</v>
      </c>
      <c r="B50" s="0" t="s">
        <v>612</v>
      </c>
    </row>
    <row r="51" customFormat="false" ht="15" hidden="false" customHeight="false" outlineLevel="0" collapsed="false">
      <c r="A51" s="0" t="s">
        <v>678</v>
      </c>
      <c r="B51" s="0" t="s">
        <v>614</v>
      </c>
    </row>
    <row r="52" customFormat="false" ht="15" hidden="false" customHeight="false" outlineLevel="0" collapsed="false">
      <c r="A52" s="0" t="s">
        <v>679</v>
      </c>
      <c r="B52" s="0" t="s">
        <v>616</v>
      </c>
    </row>
    <row r="53" customFormat="false" ht="15" hidden="false" customHeight="false" outlineLevel="0" collapsed="false">
      <c r="A53" s="0" t="s">
        <v>680</v>
      </c>
      <c r="B53" s="0" t="s">
        <v>618</v>
      </c>
    </row>
    <row r="54" customFormat="false" ht="15" hidden="false" customHeight="false" outlineLevel="0" collapsed="false">
      <c r="A54" s="0" t="s">
        <v>681</v>
      </c>
      <c r="B54" s="0" t="s">
        <v>620</v>
      </c>
    </row>
    <row r="55" customFormat="false" ht="15" hidden="false" customHeight="false" outlineLevel="0" collapsed="false">
      <c r="A55" s="0" t="s">
        <v>682</v>
      </c>
      <c r="B55" s="0" t="s">
        <v>622</v>
      </c>
    </row>
    <row r="56" customFormat="false" ht="15" hidden="false" customHeight="false" outlineLevel="0" collapsed="false">
      <c r="A56" s="0" t="s">
        <v>683</v>
      </c>
      <c r="B56" s="0" t="s">
        <v>664</v>
      </c>
    </row>
    <row r="57" customFormat="false" ht="15" hidden="false" customHeight="false" outlineLevel="0" collapsed="false">
      <c r="A57" s="0" t="s">
        <v>684</v>
      </c>
      <c r="B57" s="0" t="s">
        <v>624</v>
      </c>
    </row>
    <row r="58" customFormat="false" ht="15" hidden="false" customHeight="false" outlineLevel="0" collapsed="false">
      <c r="A58" s="0" t="s">
        <v>685</v>
      </c>
      <c r="B58" s="0" t="s">
        <v>626</v>
      </c>
    </row>
    <row r="59" customFormat="false" ht="15" hidden="false" customHeight="false" outlineLevel="0" collapsed="false">
      <c r="A59" s="0" t="s">
        <v>686</v>
      </c>
      <c r="B59" s="0" t="s">
        <v>628</v>
      </c>
    </row>
    <row r="60" customFormat="false" ht="15" hidden="false" customHeight="false" outlineLevel="0" collapsed="false">
      <c r="A60" s="0" t="s">
        <v>687</v>
      </c>
      <c r="B60" s="0" t="s">
        <v>630</v>
      </c>
    </row>
    <row r="61" customFormat="false" ht="15" hidden="false" customHeight="false" outlineLevel="0" collapsed="false">
      <c r="A61" s="0" t="s">
        <v>688</v>
      </c>
      <c r="B61" s="0" t="s">
        <v>632</v>
      </c>
    </row>
    <row r="62" customFormat="false" ht="15" hidden="false" customHeight="false" outlineLevel="0" collapsed="false">
      <c r="A62" s="0" t="s">
        <v>689</v>
      </c>
      <c r="B62" s="0" t="s">
        <v>634</v>
      </c>
    </row>
    <row r="63" customFormat="false" ht="15" hidden="false" customHeight="false" outlineLevel="0" collapsed="false">
      <c r="A63" s="0" t="s">
        <v>690</v>
      </c>
      <c r="B63" s="0" t="s">
        <v>691</v>
      </c>
    </row>
    <row r="64" customFormat="false" ht="15" hidden="false" customHeight="false" outlineLevel="0" collapsed="false">
      <c r="A64" s="0" t="s">
        <v>692</v>
      </c>
      <c r="B64" s="0" t="s">
        <v>693</v>
      </c>
    </row>
    <row r="65" customFormat="false" ht="15" hidden="false" customHeight="false" outlineLevel="0" collapsed="false">
      <c r="A65" s="0" t="s">
        <v>694</v>
      </c>
      <c r="B65" s="0" t="s">
        <v>695</v>
      </c>
    </row>
    <row r="66" customFormat="false" ht="15" hidden="false" customHeight="false" outlineLevel="0" collapsed="false">
      <c r="A66" s="0" t="s">
        <v>696</v>
      </c>
      <c r="B66" s="0" t="s">
        <v>697</v>
      </c>
    </row>
    <row r="67" customFormat="false" ht="15" hidden="false" customHeight="false" outlineLevel="0" collapsed="false">
      <c r="A67" s="0" t="s">
        <v>698</v>
      </c>
      <c r="B67" s="0" t="s">
        <v>699</v>
      </c>
    </row>
    <row r="68" customFormat="false" ht="15" hidden="false" customHeight="false" outlineLevel="0" collapsed="false">
      <c r="A68" s="0" t="s">
        <v>700</v>
      </c>
      <c r="B68" s="0" t="s">
        <v>701</v>
      </c>
    </row>
    <row r="69" customFormat="false" ht="15" hidden="false" customHeight="false" outlineLevel="0" collapsed="false">
      <c r="A69" s="0" t="s">
        <v>702</v>
      </c>
      <c r="B69" s="0" t="s">
        <v>703</v>
      </c>
    </row>
    <row r="70" customFormat="false" ht="15" hidden="false" customHeight="false" outlineLevel="0" collapsed="false">
      <c r="A70" s="0" t="s">
        <v>704</v>
      </c>
      <c r="B70" s="0" t="s">
        <v>705</v>
      </c>
    </row>
    <row r="71" customFormat="false" ht="15" hidden="false" customHeight="false" outlineLevel="0" collapsed="false">
      <c r="A71" s="0" t="s">
        <v>706</v>
      </c>
      <c r="B71" s="0" t="s">
        <v>707</v>
      </c>
    </row>
    <row r="72" customFormat="false" ht="15" hidden="false" customHeight="false" outlineLevel="0" collapsed="false">
      <c r="A72" s="0" t="s">
        <v>708</v>
      </c>
      <c r="B72" s="0" t="s">
        <v>709</v>
      </c>
    </row>
    <row r="73" customFormat="false" ht="15" hidden="false" customHeight="false" outlineLevel="0" collapsed="false">
      <c r="A73" s="0" t="s">
        <v>710</v>
      </c>
      <c r="B73" s="0" t="s">
        <v>711</v>
      </c>
    </row>
    <row r="74" customFormat="false" ht="15" hidden="false" customHeight="false" outlineLevel="0" collapsed="false">
      <c r="A74" s="0" t="s">
        <v>712</v>
      </c>
      <c r="B74" s="0" t="s">
        <v>713</v>
      </c>
    </row>
    <row r="75" customFormat="false" ht="15" hidden="false" customHeight="false" outlineLevel="0" collapsed="false">
      <c r="A75" s="0" t="s">
        <v>714</v>
      </c>
      <c r="B75" s="0" t="s">
        <v>715</v>
      </c>
    </row>
    <row r="76" customFormat="false" ht="15" hidden="false" customHeight="false" outlineLevel="0" collapsed="false">
      <c r="A76" s="0" t="s">
        <v>716</v>
      </c>
      <c r="B76" s="0" t="s">
        <v>717</v>
      </c>
    </row>
    <row r="77" customFormat="false" ht="15" hidden="false" customHeight="false" outlineLevel="0" collapsed="false">
      <c r="A77" s="0" t="s">
        <v>718</v>
      </c>
      <c r="B77" s="0" t="s">
        <v>636</v>
      </c>
    </row>
    <row r="78" customFormat="false" ht="15" hidden="false" customHeight="false" outlineLevel="0" collapsed="false">
      <c r="A78" s="0" t="s">
        <v>719</v>
      </c>
      <c r="B78" s="0" t="s">
        <v>638</v>
      </c>
    </row>
    <row r="79" customFormat="false" ht="15" hidden="false" customHeight="false" outlineLevel="0" collapsed="false">
      <c r="A79" s="0" t="s">
        <v>720</v>
      </c>
      <c r="B79" s="0" t="s">
        <v>640</v>
      </c>
    </row>
    <row r="80" customFormat="false" ht="15" hidden="false" customHeight="false" outlineLevel="0" collapsed="false">
      <c r="A80" s="0" t="s">
        <v>721</v>
      </c>
      <c r="B80" s="0" t="s">
        <v>642</v>
      </c>
    </row>
    <row r="81" customFormat="false" ht="15" hidden="false" customHeight="false" outlineLevel="0" collapsed="false">
      <c r="A81" s="0" t="s">
        <v>722</v>
      </c>
      <c r="B81" s="0" t="s">
        <v>666</v>
      </c>
    </row>
    <row r="82" customFormat="false" ht="15" hidden="false" customHeight="false" outlineLevel="0" collapsed="false">
      <c r="A82" s="0" t="s">
        <v>723</v>
      </c>
      <c r="B82" s="0" t="s">
        <v>668</v>
      </c>
    </row>
    <row r="83" customFormat="false" ht="15" hidden="false" customHeight="false" outlineLevel="0" collapsed="false">
      <c r="A83" s="0" t="s">
        <v>724</v>
      </c>
      <c r="B83" s="0" t="s">
        <v>670</v>
      </c>
    </row>
    <row r="84" customFormat="false" ht="15" hidden="false" customHeight="false" outlineLevel="0" collapsed="false">
      <c r="A84" s="0" t="s">
        <v>725</v>
      </c>
      <c r="B84" s="0" t="s">
        <v>644</v>
      </c>
    </row>
    <row r="85" customFormat="false" ht="15" hidden="false" customHeight="false" outlineLevel="0" collapsed="false">
      <c r="A85" s="0" t="s">
        <v>726</v>
      </c>
      <c r="B85" s="0" t="s">
        <v>646</v>
      </c>
    </row>
    <row r="86" customFormat="false" ht="15" hidden="false" customHeight="false" outlineLevel="0" collapsed="false">
      <c r="A86" s="0" t="s">
        <v>727</v>
      </c>
      <c r="B86" s="0" t="s">
        <v>648</v>
      </c>
    </row>
    <row r="87" customFormat="false" ht="15" hidden="false" customHeight="false" outlineLevel="0" collapsed="false">
      <c r="A87" s="0" t="s">
        <v>728</v>
      </c>
      <c r="B87" s="0" t="s">
        <v>729</v>
      </c>
    </row>
    <row r="88" customFormat="false" ht="15" hidden="false" customHeight="false" outlineLevel="0" collapsed="false">
      <c r="A88" s="0" t="s">
        <v>730</v>
      </c>
      <c r="B88" s="0" t="s">
        <v>731</v>
      </c>
    </row>
    <row r="89" customFormat="false" ht="15" hidden="false" customHeight="false" outlineLevel="0" collapsed="false">
      <c r="A89" s="0" t="s">
        <v>732</v>
      </c>
      <c r="B89" s="0" t="s">
        <v>650</v>
      </c>
    </row>
    <row r="90" customFormat="false" ht="15" hidden="false" customHeight="false" outlineLevel="0" collapsed="false">
      <c r="A90" s="0" t="s">
        <v>733</v>
      </c>
      <c r="B90" s="0" t="s">
        <v>734</v>
      </c>
    </row>
    <row r="91" customFormat="false" ht="15" hidden="false" customHeight="false" outlineLevel="0" collapsed="false">
      <c r="A91" s="0" t="s">
        <v>735</v>
      </c>
      <c r="B91" s="0" t="s">
        <v>736</v>
      </c>
    </row>
    <row r="92" customFormat="false" ht="15" hidden="false" customHeight="false" outlineLevel="0" collapsed="false">
      <c r="A92" s="0" t="s">
        <v>737</v>
      </c>
      <c r="B92" s="0" t="s">
        <v>738</v>
      </c>
    </row>
    <row r="93" customFormat="false" ht="15" hidden="false" customHeight="false" outlineLevel="0" collapsed="false">
      <c r="A93" s="0" t="s">
        <v>739</v>
      </c>
      <c r="B93" s="0" t="s">
        <v>740</v>
      </c>
    </row>
    <row r="94" customFormat="false" ht="15" hidden="false" customHeight="false" outlineLevel="0" collapsed="false">
      <c r="A94" s="0" t="s">
        <v>741</v>
      </c>
      <c r="B94" s="0" t="s">
        <v>742</v>
      </c>
    </row>
    <row r="95" customFormat="false" ht="15" hidden="false" customHeight="false" outlineLevel="0" collapsed="false">
      <c r="A95" s="0" t="s">
        <v>743</v>
      </c>
      <c r="B95" s="0" t="s">
        <v>744</v>
      </c>
    </row>
    <row r="96" customFormat="false" ht="15" hidden="false" customHeight="false" outlineLevel="0" collapsed="false">
      <c r="A96" s="0" t="s">
        <v>745</v>
      </c>
      <c r="B96" s="0" t="s">
        <v>746</v>
      </c>
    </row>
    <row r="97" customFormat="false" ht="15" hidden="false" customHeight="false" outlineLevel="0" collapsed="false">
      <c r="A97" s="0" t="s">
        <v>747</v>
      </c>
      <c r="B97" s="0" t="s">
        <v>748</v>
      </c>
    </row>
    <row r="98" customFormat="false" ht="15" hidden="false" customHeight="false" outlineLevel="0" collapsed="false">
      <c r="A98" s="0" t="s">
        <v>749</v>
      </c>
      <c r="B98" s="0" t="s">
        <v>652</v>
      </c>
    </row>
    <row r="99" customFormat="false" ht="15" hidden="false" customHeight="false" outlineLevel="0" collapsed="false">
      <c r="A99" s="0" t="s">
        <v>750</v>
      </c>
      <c r="B99" s="0" t="s">
        <v>654</v>
      </c>
    </row>
    <row r="100" customFormat="false" ht="15" hidden="false" customHeight="false" outlineLevel="0" collapsed="false">
      <c r="A100" s="0" t="s">
        <v>751</v>
      </c>
      <c r="B100" s="0" t="s">
        <v>656</v>
      </c>
    </row>
    <row r="101" customFormat="false" ht="15" hidden="false" customHeight="false" outlineLevel="0" collapsed="false">
      <c r="A101" s="0" t="s">
        <v>752</v>
      </c>
      <c r="B101" s="0" t="s">
        <v>658</v>
      </c>
    </row>
    <row r="102" customFormat="false" ht="15" hidden="false" customHeight="false" outlineLevel="0" collapsed="false">
      <c r="A102" s="0" t="s">
        <v>753</v>
      </c>
      <c r="B102" s="0" t="s">
        <v>660</v>
      </c>
    </row>
    <row r="103" customFormat="false" ht="15" hidden="false" customHeight="false" outlineLevel="0" collapsed="false">
      <c r="A103" s="0" t="s">
        <v>754</v>
      </c>
      <c r="B103" s="0" t="s">
        <v>662</v>
      </c>
    </row>
    <row r="104" customFormat="false" ht="15" hidden="false" customHeight="false" outlineLevel="0" collapsed="false">
      <c r="A104" s="0" t="s">
        <v>755</v>
      </c>
      <c r="B104" s="0" t="s">
        <v>756</v>
      </c>
    </row>
    <row r="105" customFormat="false" ht="15" hidden="false" customHeight="false" outlineLevel="0" collapsed="false">
      <c r="A105" s="0" t="s">
        <v>757</v>
      </c>
      <c r="B105" s="0" t="s">
        <v>758</v>
      </c>
    </row>
    <row r="106" customFormat="false" ht="15" hidden="false" customHeight="false" outlineLevel="0" collapsed="false">
      <c r="A106" s="0" t="s">
        <v>759</v>
      </c>
      <c r="B106" s="0" t="s">
        <v>760</v>
      </c>
    </row>
    <row r="107" customFormat="false" ht="15" hidden="false" customHeight="false" outlineLevel="0" collapsed="false">
      <c r="A107" s="0" t="s">
        <v>761</v>
      </c>
      <c r="B107" s="0" t="s">
        <v>762</v>
      </c>
    </row>
    <row r="108" customFormat="false" ht="15" hidden="false" customHeight="false" outlineLevel="0" collapsed="false">
      <c r="A108" s="0" t="s">
        <v>763</v>
      </c>
      <c r="B108" s="0" t="s">
        <v>764</v>
      </c>
    </row>
    <row r="109" customFormat="false" ht="15" hidden="false" customHeight="false" outlineLevel="0" collapsed="false">
      <c r="A109" s="0" t="s">
        <v>765</v>
      </c>
      <c r="B109" s="0" t="s">
        <v>766</v>
      </c>
      <c r="C109" s="0" t="s">
        <v>606</v>
      </c>
    </row>
    <row r="110" customFormat="false" ht="15" hidden="false" customHeight="false" outlineLevel="0" collapsed="false">
      <c r="A110" s="0" t="s">
        <v>767</v>
      </c>
      <c r="B110" s="0" t="s">
        <v>674</v>
      </c>
    </row>
    <row r="111" customFormat="false" ht="15" hidden="false" customHeight="false" outlineLevel="0" collapsed="false">
      <c r="A111" s="0" t="s">
        <v>673</v>
      </c>
      <c r="B111" s="0" t="s">
        <v>768</v>
      </c>
    </row>
    <row r="112" customFormat="false" ht="15" hidden="false" customHeight="false" outlineLevel="0" collapsed="false">
      <c r="A112" s="0" t="s">
        <v>769</v>
      </c>
      <c r="B112" s="0" t="s">
        <v>729</v>
      </c>
    </row>
    <row r="113" customFormat="false" ht="15" hidden="false" customHeight="false" outlineLevel="0" collapsed="false">
      <c r="A113" s="0" t="s">
        <v>770</v>
      </c>
      <c r="B113" s="0" t="s">
        <v>731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2010-04-14T21:32:20Z</dcterms:created>
  <dc:creator>tim dexter</dc:creator>
  <dc:description/>
  <dc:language>en-US</dc:language>
  <cp:lastModifiedBy>DEPAOLO, WALTER J</cp:lastModifiedBy>
  <dcterms:modified xsi:type="dcterms:W3CDTF">2026-09-11T20:38:27Z</dcterms:modified>
  <cp:revision>0</cp:revision>
  <dc:subject/>
  <dc:title/>
</cp:coreProperties>
</file>