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K:\BOBLAKE\Loss Runs\01-2026\Thru 06-30-26 (July)\Burst\"/>
    </mc:Choice>
  </mc:AlternateContent>
  <xr:revisionPtr revIDLastSave="0" documentId="13_ncr:1_{A00C1857-C4AC-457E-A01E-DEAA17C315F0}" xr6:coauthVersionLast="47" xr6:coauthVersionMax="47" xr10:uidLastSave="{00000000-0000-0000-0000-000000000000}"/>
  <bookViews>
    <workbookView xWindow="-120" yWindow="-120" windowWidth="24240" windowHeight="13020" xr2:uid="{00000000-000D-0000-FFFF-FFFF00000000}"/>
  </bookViews>
  <sheets>
    <sheet name="Cover Page" sheetId="1" r:id="rId1"/>
    <sheet name="Summary By Policy Year" sheetId="2" r:id="rId2"/>
    <sheet name="Chart" sheetId="3" r:id="rId3"/>
    <sheet name="Claims Data" sheetId="4" r:id="rId4"/>
    <sheet name="Record Only" sheetId="5" r:id="rId5"/>
  </sheets>
  <calcPr calcId="0"/>
  <pivotCaches>
    <pivotCache cacheId="186" r:id="rId6"/>
  </pivotCaches>
</workbook>
</file>

<file path=xl/sharedStrings.xml><?xml version="1.0" encoding="utf-8"?>
<sst xmlns="http://schemas.openxmlformats.org/spreadsheetml/2006/main" count="2048" uniqueCount="467">
  <si>
    <t>Account Number</t>
  </si>
  <si>
    <t>1521764304</t>
  </si>
  <si>
    <t>Account Name</t>
  </si>
  <si>
    <t>Amarok LLC</t>
  </si>
  <si>
    <t>Report Run Date</t>
  </si>
  <si>
    <t>07/01/2026</t>
  </si>
  <si>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</si>
  <si>
    <t>This report contains information on all open claims; as well as closed claims limited to the current and prior six policy years.</t>
  </si>
  <si>
    <t>Policy Symbol</t>
  </si>
  <si>
    <t>(All)</t>
  </si>
  <si>
    <t>Claim Status</t>
  </si>
  <si>
    <t>Litigation Status</t>
  </si>
  <si>
    <t>Claims above 50K</t>
  </si>
  <si>
    <t>Policy Year</t>
  </si>
  <si>
    <t>Policy</t>
  </si>
  <si>
    <t>Policy Effective Date</t>
  </si>
  <si>
    <t>Account Location Identifier</t>
  </si>
  <si>
    <t>Claim Number</t>
  </si>
  <si>
    <t>Exposure</t>
  </si>
  <si>
    <t>Claimant Name</t>
  </si>
  <si>
    <t>Cause Of Loss</t>
  </si>
  <si>
    <t>Description of Loss</t>
  </si>
  <si>
    <t>$ Loss Reserve</t>
  </si>
  <si>
    <t>$ Total Paid</t>
  </si>
  <si>
    <t>$ ALAE Reserve</t>
  </si>
  <si>
    <t>$ ALAE Paid</t>
  </si>
  <si>
    <t>$ Total Incurred + ALAE</t>
  </si>
  <si>
    <t>01</t>
  </si>
  <si>
    <t>Row Labels</t>
  </si>
  <si>
    <t>Number of Claims</t>
  </si>
  <si>
    <t>Sum of Total Incurred</t>
  </si>
  <si>
    <t>Grand Total</t>
  </si>
  <si>
    <t>Customer Number</t>
  </si>
  <si>
    <t>Policy Insured Name</t>
  </si>
  <si>
    <t>Accident State</t>
  </si>
  <si>
    <t>Policy Number</t>
  </si>
  <si>
    <t>Policy MOD</t>
  </si>
  <si>
    <t>Policy Expiration Date</t>
  </si>
  <si>
    <t>Loss Date</t>
  </si>
  <si>
    <t>Date of Notice</t>
  </si>
  <si>
    <t>Lag Time</t>
  </si>
  <si>
    <t>Claim Closed Date</t>
  </si>
  <si>
    <t>Coverage</t>
  </si>
  <si>
    <t>Outstanding Loss Reserve</t>
  </si>
  <si>
    <t>Total Paid Loss Net Salvage/Subro/Loss Recovery</t>
  </si>
  <si>
    <t>Incurred w/o ALAE</t>
  </si>
  <si>
    <t>ALAE Reserve</t>
  </si>
  <si>
    <t>ALAE Paid</t>
  </si>
  <si>
    <t>Total Incurred + ALAE</t>
  </si>
  <si>
    <t>Salvage Recovery</t>
  </si>
  <si>
    <t>Subro Recovery</t>
  </si>
  <si>
    <t>Loss Recovery</t>
  </si>
  <si>
    <t>Deductible Recovery</t>
  </si>
  <si>
    <t>Expense Recovery</t>
  </si>
  <si>
    <t>Contributing Factor</t>
  </si>
  <si>
    <t>Product</t>
  </si>
  <si>
    <t>Manufacturer</t>
  </si>
  <si>
    <t>Policy Region Description</t>
  </si>
  <si>
    <t>Policy Holder Retailer Desc</t>
  </si>
  <si>
    <t>Policy Holder Claim Number</t>
  </si>
  <si>
    <t>Occupation</t>
  </si>
  <si>
    <t>Accident Day Of Week</t>
  </si>
  <si>
    <t>Insured Driver</t>
  </si>
  <si>
    <t>Total Loss Indicator</t>
  </si>
  <si>
    <t>Vehicle Year</t>
  </si>
  <si>
    <t>Vehicle Manufacturer</t>
  </si>
  <si>
    <t>Vehicle Model</t>
  </si>
  <si>
    <t>Vehicle ID Number</t>
  </si>
  <si>
    <t>Vehicle License Plate</t>
  </si>
  <si>
    <t>Vehicle License State</t>
  </si>
  <si>
    <t>Adjuster</t>
  </si>
  <si>
    <t>Claim Feature Number</t>
  </si>
  <si>
    <t>Total Incurred</t>
  </si>
  <si>
    <t>Distinct Claim Helper</t>
  </si>
  <si>
    <t>AMAROK LLC</t>
  </si>
  <si>
    <t>78-00429417</t>
  </si>
  <si>
    <t>SC</t>
  </si>
  <si>
    <t>AH6</t>
  </si>
  <si>
    <t>M147006</t>
  </si>
  <si>
    <t>00</t>
  </si>
  <si>
    <t>10/01/2025</t>
  </si>
  <si>
    <t>10/01/2026</t>
  </si>
  <si>
    <t>03/05/2026</t>
  </si>
  <si>
    <t>03/25/2026</t>
  </si>
  <si>
    <t>closed</t>
  </si>
  <si>
    <t>03/31/2026</t>
  </si>
  <si>
    <t>Comprehensive</t>
  </si>
  <si>
    <t>Comprehensive Auto</t>
  </si>
  <si>
    <t>Glass Breakage</t>
  </si>
  <si>
    <t>Unspecified</t>
  </si>
  <si>
    <t xml:space="preserve"> </t>
  </si>
  <si>
    <t>Thursday</t>
  </si>
  <si>
    <t>N</t>
  </si>
  <si>
    <t>CHEVROLET</t>
  </si>
  <si>
    <t>EXPRESS</t>
  </si>
  <si>
    <t>1GCWGBFP6R1269262</t>
  </si>
  <si>
    <t>CZYM20</t>
  </si>
  <si>
    <t>TEAM, GLASS/TOW</t>
  </si>
  <si>
    <t>AH6-M147006-00</t>
  </si>
  <si>
    <t>78-0042941701</t>
  </si>
  <si>
    <t>78-00433612</t>
  </si>
  <si>
    <t>04/02/2026</t>
  </si>
  <si>
    <t>04/28/2026</t>
  </si>
  <si>
    <t>04/29/2026</t>
  </si>
  <si>
    <t>1GCWGBFP0S1265374</t>
  </si>
  <si>
    <t>P917045</t>
  </si>
  <si>
    <t>78-0043361201</t>
  </si>
  <si>
    <t>85-00864395</t>
  </si>
  <si>
    <t>American United Transportation</t>
  </si>
  <si>
    <t>NY</t>
  </si>
  <si>
    <t>10/16/2025</t>
  </si>
  <si>
    <t>10/27/2025</t>
  </si>
  <si>
    <t>02/02/2026</t>
  </si>
  <si>
    <t>Liability - VehicleDamage</t>
  </si>
  <si>
    <t>Lane Change/Merge Accident</t>
  </si>
  <si>
    <t>IV Departed Lane-Hit OV</t>
  </si>
  <si>
    <t>Isiah Miller</t>
  </si>
  <si>
    <t>BLISS, AMANDA</t>
  </si>
  <si>
    <t>85-0086439501</t>
  </si>
  <si>
    <t>85-00885574</t>
  </si>
  <si>
    <t>CA</t>
  </si>
  <si>
    <t>10/14/2025</t>
  </si>
  <si>
    <t>12/10/2025</t>
  </si>
  <si>
    <t>12/30/2025</t>
  </si>
  <si>
    <t>Collision</t>
  </si>
  <si>
    <t>Backing Accident</t>
  </si>
  <si>
    <t>IV Struck Other Object</t>
  </si>
  <si>
    <t>Safety Bollard</t>
  </si>
  <si>
    <t>Tuesday</t>
  </si>
  <si>
    <t>Edgar Estrella</t>
  </si>
  <si>
    <t>GMC</t>
  </si>
  <si>
    <t>Savana</t>
  </si>
  <si>
    <t>1GTW7BFPXP1188648</t>
  </si>
  <si>
    <t>WALKER, TYSON</t>
  </si>
  <si>
    <t>85-0088557401</t>
  </si>
  <si>
    <t>85-00898010</t>
  </si>
  <si>
    <t>01/07/2026</t>
  </si>
  <si>
    <t>01/09/2026</t>
  </si>
  <si>
    <t>03/06/2026</t>
  </si>
  <si>
    <t>Intersection Accident</t>
  </si>
  <si>
    <t>IV And OV Going Straight</t>
  </si>
  <si>
    <t>OV Ran Sign/Light</t>
  </si>
  <si>
    <t>Wednesday</t>
  </si>
  <si>
    <t>Patrick Fleming</t>
  </si>
  <si>
    <t>Y</t>
  </si>
  <si>
    <t>Chevrolet</t>
  </si>
  <si>
    <t>Express 2500</t>
  </si>
  <si>
    <t>1GCWGBFP5S1206451</t>
  </si>
  <si>
    <t>FREUND, DANIEL</t>
  </si>
  <si>
    <t>85-0089801001</t>
  </si>
  <si>
    <t>85-00913097</t>
  </si>
  <si>
    <t>02/06/2026</t>
  </si>
  <si>
    <t>05/02/2026</t>
  </si>
  <si>
    <t>Struck Other Object</t>
  </si>
  <si>
    <t>IV Struck Parked OV</t>
  </si>
  <si>
    <t>Parking Lot</t>
  </si>
  <si>
    <t>Friday</t>
  </si>
  <si>
    <t>Gavin Hendriks</t>
  </si>
  <si>
    <t>Chevy</t>
  </si>
  <si>
    <t>Express</t>
  </si>
  <si>
    <t>1GCWGBFP2S1206519</t>
  </si>
  <si>
    <t>Y9948560</t>
  </si>
  <si>
    <t>GREGOIRE, DANIELLE</t>
  </si>
  <si>
    <t>85-0091309701</t>
  </si>
  <si>
    <t>02</t>
  </si>
  <si>
    <t>Termores, Dennis</t>
  </si>
  <si>
    <t>85-0091309702</t>
  </si>
  <si>
    <t>85-00916705</t>
  </si>
  <si>
    <t>MA</t>
  </si>
  <si>
    <t>02/12/2026</t>
  </si>
  <si>
    <t>02/13/2026</t>
  </si>
  <si>
    <t>open</t>
  </si>
  <si>
    <t>Weather Related Conditions</t>
  </si>
  <si>
    <t>Isaiah Miller</t>
  </si>
  <si>
    <t>85-0091670501</t>
  </si>
  <si>
    <t>85-00937525</t>
  </si>
  <si>
    <t>03/20/2026</t>
  </si>
  <si>
    <t>03/24/2026</t>
  </si>
  <si>
    <t>Struck By Other Object</t>
  </si>
  <si>
    <t>OV Struck IV</t>
  </si>
  <si>
    <t>OV Opened Door</t>
  </si>
  <si>
    <t>MARCOS PENA</t>
  </si>
  <si>
    <t>1GCWGBFPXS1199304</t>
  </si>
  <si>
    <t>82022J4</t>
  </si>
  <si>
    <t>MANCINI, MICHAEL</t>
  </si>
  <si>
    <t>85-0093752501</t>
  </si>
  <si>
    <t>Sarkissian, Aram</t>
  </si>
  <si>
    <t>85-0093752502</t>
  </si>
  <si>
    <t>85-00937891</t>
  </si>
  <si>
    <t>OR</t>
  </si>
  <si>
    <t>03/18/2026</t>
  </si>
  <si>
    <t>Passing Sideswipe Accident</t>
  </si>
  <si>
    <t>IV Sideswiped OV</t>
  </si>
  <si>
    <t>OV Parked</t>
  </si>
  <si>
    <t>Zack Swindall</t>
  </si>
  <si>
    <t>1GCWGBFPXS1265429</t>
  </si>
  <si>
    <t>85-0093789101</t>
  </si>
  <si>
    <t>Merck Sharp and Dohme</t>
  </si>
  <si>
    <t>85-0093789102</t>
  </si>
  <si>
    <t>85-00945427</t>
  </si>
  <si>
    <t>04/07/2026</t>
  </si>
  <si>
    <t>04/09/2026</t>
  </si>
  <si>
    <t>Rear End Accident</t>
  </si>
  <si>
    <t>IV Rear Ended OV</t>
  </si>
  <si>
    <t>Michael Meahl</t>
  </si>
  <si>
    <t>CHEVR</t>
  </si>
  <si>
    <t>EXPRE</t>
  </si>
  <si>
    <t>1GCWGBFP6R1269021</t>
  </si>
  <si>
    <t>P895591</t>
  </si>
  <si>
    <t>85-0094542701</t>
  </si>
  <si>
    <t>Vilchakovska, Viktoriia</t>
  </si>
  <si>
    <t>85-0094542702</t>
  </si>
  <si>
    <t>03</t>
  </si>
  <si>
    <t>Liability - Bodily Injury</t>
  </si>
  <si>
    <t>BULAN, MICHAEL</t>
  </si>
  <si>
    <t>85-0094542703</t>
  </si>
  <si>
    <t>85-00947346</t>
  </si>
  <si>
    <t>LA</t>
  </si>
  <si>
    <t>04/14/2026</t>
  </si>
  <si>
    <t>Multiple Vehicle Accident</t>
  </si>
  <si>
    <t>OV Rear Ended IV</t>
  </si>
  <si>
    <t>Tre Bridges</t>
  </si>
  <si>
    <t>1GCWGBFP8S1205388</t>
  </si>
  <si>
    <t>FANCHER, MARCUS</t>
  </si>
  <si>
    <t>85-0094734601</t>
  </si>
  <si>
    <t>Maison, James</t>
  </si>
  <si>
    <t>85-0094734602</t>
  </si>
  <si>
    <t>UNKNOWN</t>
  </si>
  <si>
    <t>85-0094734603</t>
  </si>
  <si>
    <t>04</t>
  </si>
  <si>
    <t>85-0094734604</t>
  </si>
  <si>
    <t>05</t>
  </si>
  <si>
    <t>Johnson, Kendall</t>
  </si>
  <si>
    <t>85-0094734605</t>
  </si>
  <si>
    <t>85-00953464</t>
  </si>
  <si>
    <t>National Car Rental</t>
  </si>
  <si>
    <t>01/01/2026</t>
  </si>
  <si>
    <t>04/23/2026</t>
  </si>
  <si>
    <t>04/24/2026</t>
  </si>
  <si>
    <t>Rental</t>
  </si>
  <si>
    <t>Shara Turley</t>
  </si>
  <si>
    <t>Chrysler</t>
  </si>
  <si>
    <t>Pacifica</t>
  </si>
  <si>
    <t>2C4RC1BG4TR186053</t>
  </si>
  <si>
    <t>85-0095346401</t>
  </si>
  <si>
    <t>85-00957994</t>
  </si>
  <si>
    <t>NC</t>
  </si>
  <si>
    <t>05/04/2026</t>
  </si>
  <si>
    <t>05/06/2026</t>
  </si>
  <si>
    <t>Post</t>
  </si>
  <si>
    <t>Monday</t>
  </si>
  <si>
    <t>Iain Luna</t>
  </si>
  <si>
    <t>1GCWGBFP9S1265647</t>
  </si>
  <si>
    <t>85-0095799401</t>
  </si>
  <si>
    <t>85-00966101</t>
  </si>
  <si>
    <t>02/19/2026</t>
  </si>
  <si>
    <t>05/21/2026</t>
  </si>
  <si>
    <t>05/26/2026</t>
  </si>
  <si>
    <t>Chervolet</t>
  </si>
  <si>
    <t>1GCWGBFP7P1101725</t>
  </si>
  <si>
    <t>BUCHANAN, PEGGY</t>
  </si>
  <si>
    <t>85-0096610101</t>
  </si>
  <si>
    <t>85-00939799</t>
  </si>
  <si>
    <t>Ramirez, Efrain</t>
  </si>
  <si>
    <t>GA</t>
  </si>
  <si>
    <t>LH6</t>
  </si>
  <si>
    <t>M167160</t>
  </si>
  <si>
    <t>03/12/2026</t>
  </si>
  <si>
    <t>03/26/2026</t>
  </si>
  <si>
    <t>05/12/2026</t>
  </si>
  <si>
    <t>Premises/Operations-Advertising Personal Injury Vehicle Damage</t>
  </si>
  <si>
    <t>Vehicle Damage</t>
  </si>
  <si>
    <t>Struck by Falling/Flying Object</t>
  </si>
  <si>
    <t>Gate</t>
  </si>
  <si>
    <t>GOLSCH, JENNIFER</t>
  </si>
  <si>
    <t>LH6-M167160-00</t>
  </si>
  <si>
    <t>85-0093979901</t>
  </si>
  <si>
    <t>85-00957177</t>
  </si>
  <si>
    <t>Hunter, Gregory</t>
  </si>
  <si>
    <t>NV</t>
  </si>
  <si>
    <t>10/15/2025</t>
  </si>
  <si>
    <t>Products/Completed Operations-Advertising and Personal Injury-Bodily Injury</t>
  </si>
  <si>
    <t>Professional Liability</t>
  </si>
  <si>
    <t>Electrical Shock</t>
  </si>
  <si>
    <t>Personal Injury</t>
  </si>
  <si>
    <t>CASSANELLI, MAGGIE</t>
  </si>
  <si>
    <t>85-0095717701</t>
  </si>
  <si>
    <t>83-00175637</t>
  </si>
  <si>
    <t>Anderson, Travis</t>
  </si>
  <si>
    <t>261 The Boulevard, Columbia, SC</t>
  </si>
  <si>
    <t>WD6</t>
  </si>
  <si>
    <t>M147769</t>
  </si>
  <si>
    <t>03/11/2026</t>
  </si>
  <si>
    <t>03/30/2026</t>
  </si>
  <si>
    <t>04/06/2026</t>
  </si>
  <si>
    <t>WC Coverage - Other than Med</t>
  </si>
  <si>
    <t>H5-Knee</t>
  </si>
  <si>
    <t>D4-Strain</t>
  </si>
  <si>
    <t>L9-Strain or injury by - misc.</t>
  </si>
  <si>
    <t>Warehouse Logistics Coordinator</t>
  </si>
  <si>
    <t>GADDAM, TINEAL</t>
  </si>
  <si>
    <t>WD6-M147769-00</t>
  </si>
  <si>
    <t>83-0017563701</t>
  </si>
  <si>
    <t>WC Coverage -Med Only</t>
  </si>
  <si>
    <t>83-0017563702</t>
  </si>
  <si>
    <t>85-00918044</t>
  </si>
  <si>
    <t>Collier, Rowmeeka</t>
  </si>
  <si>
    <t>550 Assembly St, Columbia, SC</t>
  </si>
  <si>
    <t>01/30/2026</t>
  </si>
  <si>
    <t>02/18/2026</t>
  </si>
  <si>
    <t>Premises/Operations-Advertising Personal Injury Bodily Injury</t>
  </si>
  <si>
    <t>Electrocution</t>
  </si>
  <si>
    <t>Attorney Letter</t>
  </si>
  <si>
    <t>RALPHS, BRIAN</t>
  </si>
  <si>
    <t>85-0091804401</t>
  </si>
  <si>
    <t>85-00920876</t>
  </si>
  <si>
    <t>Killis, James</t>
  </si>
  <si>
    <t>IL</t>
  </si>
  <si>
    <t>12/16/2025</t>
  </si>
  <si>
    <t>02/23/2026</t>
  </si>
  <si>
    <t>85-0092087601</t>
  </si>
  <si>
    <t>85-00961929</t>
  </si>
  <si>
    <t>Sutherland, Chad</t>
  </si>
  <si>
    <t>AL</t>
  </si>
  <si>
    <t>05/13/2026</t>
  </si>
  <si>
    <t>Struck Against Object</t>
  </si>
  <si>
    <t>BIEBER, HANNAH</t>
  </si>
  <si>
    <t>85-0096192901</t>
  </si>
  <si>
    <t>85-00962472</t>
  </si>
  <si>
    <t>Grant, Richard</t>
  </si>
  <si>
    <t>12/31/2025</t>
  </si>
  <si>
    <t>05/14/2026</t>
  </si>
  <si>
    <t>TERRY, KRISTEN</t>
  </si>
  <si>
    <t>85-0096247201</t>
  </si>
  <si>
    <t>Premises/Operations-Advertising Personal Injury MedPay</t>
  </si>
  <si>
    <t>85-0096247202</t>
  </si>
  <si>
    <t>83-00167707</t>
  </si>
  <si>
    <t>Flores, Gilbert</t>
  </si>
  <si>
    <t>11/04/2025</t>
  </si>
  <si>
    <t>11/06/2025</t>
  </si>
  <si>
    <t>11/21/2025</t>
  </si>
  <si>
    <t>MP-Multiple Body Parts</t>
  </si>
  <si>
    <t>J1-Collision with another vehicle</t>
  </si>
  <si>
    <t>Unknown</t>
  </si>
  <si>
    <t>FOUNTAIN, BRANDON</t>
  </si>
  <si>
    <t>83-0016770701</t>
  </si>
  <si>
    <t>83-0016770702</t>
  </si>
  <si>
    <t>83-00167708</t>
  </si>
  <si>
    <t>Reed, Lonnie</t>
  </si>
  <si>
    <t>83-0016770801</t>
  </si>
  <si>
    <t>83-0016770802</t>
  </si>
  <si>
    <t>83-00167709</t>
  </si>
  <si>
    <t>Lashley, Barry</t>
  </si>
  <si>
    <t>83-0016770901</t>
  </si>
  <si>
    <t>83-0016770902</t>
  </si>
  <si>
    <t>83-00167710</t>
  </si>
  <si>
    <t>Spradley, Brian</t>
  </si>
  <si>
    <t>83-0016771001</t>
  </si>
  <si>
    <t>83-0016771002</t>
  </si>
  <si>
    <t>83-00167711</t>
  </si>
  <si>
    <t>Lopez, Cesar</t>
  </si>
  <si>
    <t>83-0016771101</t>
  </si>
  <si>
    <t>83-0016771102</t>
  </si>
  <si>
    <t>83-00166663</t>
  </si>
  <si>
    <t>Fleming, Patrick</t>
  </si>
  <si>
    <t>California</t>
  </si>
  <si>
    <t>10/17/2025</t>
  </si>
  <si>
    <t>10/20/2025</t>
  </si>
  <si>
    <t>01/21/2026</t>
  </si>
  <si>
    <t>H6-Lower Leg</t>
  </si>
  <si>
    <t>F2-Fall/slip - ladder</t>
  </si>
  <si>
    <t>field technician</t>
  </si>
  <si>
    <t>HUFFMAN, JANICE</t>
  </si>
  <si>
    <t>83-0016666301</t>
  </si>
  <si>
    <t>83-0016666302</t>
  </si>
  <si>
    <t>83-00170804</t>
  </si>
  <si>
    <t>F7-Multiple Trunk</t>
  </si>
  <si>
    <t>Field Technician</t>
  </si>
  <si>
    <t>LOZANO, ASHLEY</t>
  </si>
  <si>
    <t>83-0017080401</t>
  </si>
  <si>
    <t>83-0017080402</t>
  </si>
  <si>
    <t>83-00169838</t>
  </si>
  <si>
    <t>Carson, Jennie</t>
  </si>
  <si>
    <t>Georgia</t>
  </si>
  <si>
    <t>12/17/2025</t>
  </si>
  <si>
    <t>C4-Lacerations</t>
  </si>
  <si>
    <t>F6-Fall/slip - miscellaneous</t>
  </si>
  <si>
    <t>Field Tech</t>
  </si>
  <si>
    <t>MUNS, MEGAN</t>
  </si>
  <si>
    <t>83-0016983801</t>
  </si>
  <si>
    <t>83-0016983802</t>
  </si>
  <si>
    <t>83-00179880</t>
  </si>
  <si>
    <t>Allison, Joshua</t>
  </si>
  <si>
    <t>06/08/2026</t>
  </si>
  <si>
    <t>06/09/2026</t>
  </si>
  <si>
    <t>F6-Lower Back</t>
  </si>
  <si>
    <t>83-0017988001</t>
  </si>
  <si>
    <t>83-0017988002</t>
  </si>
  <si>
    <t>83-00173191</t>
  </si>
  <si>
    <t>Wallace, Tien</t>
  </si>
  <si>
    <t>Indiana</t>
  </si>
  <si>
    <t>IN</t>
  </si>
  <si>
    <t>F2-Chest (Ribs)</t>
  </si>
  <si>
    <t>B6-Fracture</t>
  </si>
  <si>
    <t>FOWLER, JENNA</t>
  </si>
  <si>
    <t>83-0017319101</t>
  </si>
  <si>
    <t>83-0017319102</t>
  </si>
  <si>
    <t>85-00956047</t>
  </si>
  <si>
    <t>Zapata, Jesus</t>
  </si>
  <si>
    <t>Texas</t>
  </si>
  <si>
    <t>TX</t>
  </si>
  <si>
    <t>04/27/2026</t>
  </si>
  <si>
    <t>Chemical/Smoke/Fumes</t>
  </si>
  <si>
    <t>CRUMPTON, MIKAYLA</t>
  </si>
  <si>
    <t>85-0095604701</t>
  </si>
  <si>
    <t>83-00176294</t>
  </si>
  <si>
    <t>James, Rodney</t>
  </si>
  <si>
    <t>04/10/2026</t>
  </si>
  <si>
    <t>B3-Other soft facial tissue</t>
  </si>
  <si>
    <t>P3-Struck by - obj. handled by Oth</t>
  </si>
  <si>
    <t>MONTES JR, FRANK</t>
  </si>
  <si>
    <t>83-0017629401</t>
  </si>
  <si>
    <t>83-0017629402</t>
  </si>
  <si>
    <t>85-00886083</t>
  </si>
  <si>
    <t>Unknown, Unknown</t>
  </si>
  <si>
    <t>WA</t>
  </si>
  <si>
    <t>12/01/2025</t>
  </si>
  <si>
    <t>12/11/2025</t>
  </si>
  <si>
    <t>85-0088608301</t>
  </si>
  <si>
    <t>85-0088608302</t>
  </si>
  <si>
    <t>85-00961955</t>
  </si>
  <si>
    <t>03/22/2024</t>
  </si>
  <si>
    <t>Lawsuit</t>
  </si>
  <si>
    <t>83-00177533</t>
  </si>
  <si>
    <t>Ulmer, Aleesha</t>
  </si>
  <si>
    <t>05/01/2026</t>
  </si>
  <si>
    <t>05/18/2026</t>
  </si>
  <si>
    <t>A1-Brain</t>
  </si>
  <si>
    <t>H4-Mental stress</t>
  </si>
  <si>
    <t>S2-Other than Physical Cause of Injury</t>
  </si>
  <si>
    <t>Manager</t>
  </si>
  <si>
    <t>ROOD, KAYLEIGH</t>
  </si>
  <si>
    <t>83-0017753301</t>
  </si>
  <si>
    <t>83-0017753302</t>
  </si>
  <si>
    <t>85-00902866</t>
  </si>
  <si>
    <t>7875 Hemlock Ave, Fontana, CA</t>
  </si>
  <si>
    <t>RZ6</t>
  </si>
  <si>
    <t>M166894</t>
  </si>
  <si>
    <t>01/16/2026</t>
  </si>
  <si>
    <t>01/20/2026</t>
  </si>
  <si>
    <t>01/28/2026</t>
  </si>
  <si>
    <t>Fire</t>
  </si>
  <si>
    <t>Electrical</t>
  </si>
  <si>
    <t>Camera Wires</t>
  </si>
  <si>
    <t>RZ6-M166894-00</t>
  </si>
  <si>
    <t>83-00175815</t>
  </si>
  <si>
    <t>Waters, William</t>
  </si>
  <si>
    <t>04/01/2026</t>
  </si>
  <si>
    <t>ML-All other injuries</t>
  </si>
  <si>
    <t>Q7-Other misc. causes</t>
  </si>
  <si>
    <t>BARBOZA, KERRI</t>
  </si>
  <si>
    <t>83-0017581501</t>
  </si>
  <si>
    <t>83-0017581502</t>
  </si>
  <si>
    <t>Values</t>
  </si>
  <si>
    <t>(blank)</t>
  </si>
  <si>
    <t>2025 Total</t>
  </si>
  <si>
    <t>In litigation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</si>
</sst>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409]d\-mmm\-yy;@"/>
    <numFmt numFmtId="165" formatCode="yyyy\-mm\-dd"/>
    <numFmt numFmtId="166" formatCode="&quot;$&quot;#,##0.0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indexed="8"/>
      <name val="Calibri"/>
      <family val="2"/>
    </font>
    <font>
      <sz val="10"/>
      <color indexed="8"/>
      <name val="Verdana"/>
      <family val="2"/>
    </font>
  </fonts>
  <fills count="3">
    <fill>
      <patternFill patternType="none"/>
    </fill>
    <fill>
      <patternFill patternType="gray125"/>
    </fill>
    <fill>
      <patternFill patternType="solid">
        <fgColor theme="2" tint="-9.9978637043366805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s>
  <cellStyleXfs count="2">
    <xf numFmtId="0" fontId="0" fillId="0" borderId="0"/>
    <xf numFmtId="44" fontId="1" fillId="0" borderId="0"/>
  </cellStyleXfs>
  <cellXfs count="37">
    <xf numFmtId="0" fontId="0" fillId="0" borderId="0" xfId="0"/>
    <xf numFmtId="0" fontId="3" fillId="0" borderId="1" xfId="0" applyFont="1" applyBorder="1" applyAlignment="1">
      <alignment horizontal="left" vertical="center"/>
    </xf>
    <xf numFmtId="49" fontId="3" fillId="0" borderId="1" xfId="0" applyNumberFormat="1" applyFont="1" applyBorder="1" applyAlignment="1">
      <alignment vertical="center"/>
    </xf>
    <xf numFmtId="22" fontId="0" fillId="0" borderId="0" xfId="0" applyNumberFormat="1"/>
    <xf numFmtId="164" fontId="4" fillId="0" borderId="0" xfId="0" applyNumberFormat="1" applyFont="1"/>
    <xf numFmtId="165" fontId="0" fillId="0" borderId="0" xfId="0" applyNumberFormat="1"/>
    <xf numFmtId="166" fontId="0" fillId="0" borderId="0" xfId="0" applyNumberFormat="1"/>
    <xf numFmtId="0" fontId="0" fillId="0" borderId="4" xfId="0" applyBorder="1"/>
    <xf numFmtId="14" fontId="0" fillId="0" borderId="4" xfId="0" applyNumberFormat="1" applyBorder="1"/>
    <xf numFmtId="166" fontId="0" fillId="0" borderId="4" xfId="0" applyNumberFormat="1" applyBorder="1"/>
    <xf numFmtId="166" fontId="0" fillId="0" borderId="5" xfId="0" applyNumberFormat="1" applyBorder="1"/>
    <xf numFmtId="166" fontId="0" fillId="0" borderId="6" xfId="0" applyNumberFormat="1" applyBorder="1"/>
    <xf numFmtId="0" fontId="0" fillId="0" borderId="7" xfId="0" applyBorder="1"/>
    <xf numFmtId="0" fontId="0" fillId="0" borderId="8" xfId="0" applyBorder="1"/>
    <xf numFmtId="166" fontId="0" fillId="0" borderId="7" xfId="0" applyNumberFormat="1" applyBorder="1"/>
    <xf numFmtId="166" fontId="0" fillId="0" borderId="9" xfId="0" applyNumberFormat="1" applyBorder="1"/>
    <xf numFmtId="166" fontId="0" fillId="0" borderId="10" xfId="0" applyNumberFormat="1" applyBorder="1"/>
    <xf numFmtId="0" fontId="0" fillId="0" borderId="11" xfId="0" pivotButton="1" applyBorder="1"/>
    <xf numFmtId="0" fontId="0" fillId="0" borderId="11" xfId="0" applyBorder="1"/>
    <xf numFmtId="14" fontId="3" fillId="0" borderId="1" xfId="0" applyNumberFormat="1" applyFont="1" applyBorder="1" applyAlignment="1">
      <alignment horizontal="left" vertical="center"/>
    </xf>
    <xf numFmtId="0" fontId="0" fillId="0" borderId="0" xfId="0" pivotButton="1"/>
    <xf numFmtId="0" fontId="0" fillId="0" borderId="0" xfId="1" applyNumberFormat="1" applyFont="1"/>
    <xf numFmtId="14" fontId="0" fillId="0" borderId="0" xfId="0" applyNumberFormat="1"/>
    <xf numFmtId="0" fontId="2" fillId="2" borderId="4" xfId="0" applyFont="1" applyFill="1" applyBorder="1"/>
    <xf numFmtId="0" fontId="2" fillId="2" borderId="5" xfId="0" applyFont="1" applyFill="1" applyBorder="1"/>
    <xf numFmtId="0" fontId="2" fillId="2" borderId="6" xfId="0" applyFont="1" applyFill="1" applyBorder="1"/>
    <xf numFmtId="0" fontId="0" fillId="0" borderId="0" xfId="0" applyAlignment="1">
      <alignment horizontal="left"/>
    </xf>
    <xf numFmtId="0" fontId="0" fillId="0" borderId="0" xfId="0"/>
    <xf numFmtId="0" fontId="0" fillId="0" borderId="2" xfId="0" applyBorder="1" applyAlignment="1">
      <alignment horizontal="left" vertical="center" wrapText="1"/>
    </xf>
    <xf numFmtId="0" fontId="0" fillId="0" borderId="3" xfId="0" applyBorder="1"/>
    <xf numFmtId="0" fontId="0" fillId="0" borderId="0" xfId="0" applyAlignment="1">
      <alignment horizontal="left"/>
    </xf>
    <xf numFmtId="0" fontId="0" fillId="0" borderId="0" xfId="0"/>
    <xf numFmtId="0" fontId="0" fillId="0" borderId="12" xfId="0" applyBorder="1"/>
    <xf numFmtId="0" fontId="0" fillId="0" borderId="4" xfId="0" pivotButton="1" applyBorder="1"/>
    <xf numFmtId="0" fontId="0" fillId="0" borderId="13" xfId="0" applyBorder="1"/>
    <xf numFmtId="0" fontId="0" fillId="0" borderId="14" xfId="0" applyBorder="1"/>
    <xf numFmtId="0" fontId="0" fillId="0" borderId="0" xfId="0" applyNumberFormat="1"/>
  </cellXfs>
  <cellStyles count="2">
    <cellStyle name="Currency" xfId="1" builtinId="4"/>
    <cellStyle name="Normal" xfId="0" builtinId="0"/>
  </cellStyles>
  <dxfs count="125">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ont>
        <b/>
      </font>
    </dxf>
    <dxf>
      <font>
        <b/>
      </font>
    </dxf>
    <dxf>
      <font>
        <b/>
      </font>
    </dxf>
    <dxf>
      <font>
        <b/>
      </font>
    </dxf>
    <dxf>
      <font>
        <b/>
      </font>
    </dxf>
    <dxf>
      <font>
        <b/>
      </font>
    </dxf>
    <dxf>
      <font>
        <b/>
      </font>
    </dxf>
    <dxf>
      <font>
        <b/>
      </font>
    </dxf>
    <dxf>
      <font>
        <b/>
      </font>
    </dxf>
    <dxf>
      <font>
        <b/>
      </font>
      <fill>
        <patternFill patternType="solid">
          <fgColor indexed="64"/>
          <bgColor theme="2" tint="-9.9978637043366805E-2"/>
        </patternFill>
      </fill>
    </dxf>
    <dxf>
      <font>
        <b/>
      </font>
      <fill>
        <patternFill patternType="solid">
          <fgColor indexed="64"/>
          <bgColor theme="2" tint="-9.9978637043366805E-2"/>
        </patternFill>
      </fill>
    </dxf>
    <dxf>
      <font>
        <b/>
      </font>
      <fill>
        <patternFill patternType="solid">
          <fgColor indexed="64"/>
          <bgColor theme="2" tint="-9.9978637043366805E-2"/>
        </patternFill>
      </fill>
    </dxf>
    <dxf>
      <font>
        <b/>
      </font>
      <fill>
        <patternFill patternType="solid">
          <fgColor indexed="64"/>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ont>
        <b/>
      </font>
    </dxf>
    <dxf>
      <font>
        <b/>
      </font>
    </dxf>
    <dxf>
      <font>
        <b/>
      </font>
    </dxf>
    <dxf>
      <font>
        <b/>
      </font>
    </dxf>
    <dxf>
      <font>
        <b/>
      </font>
    </dxf>
    <dxf>
      <font>
        <b/>
      </font>
    </dxf>
    <dxf>
      <font>
        <b/>
      </font>
    </dxf>
    <dxf>
      <font>
        <b/>
      </font>
    </dxf>
    <dxf>
      <font>
        <b/>
      </font>
    </dxf>
    <dxf>
      <font>
        <b/>
      </font>
      <fill>
        <patternFill patternType="solid">
          <fgColor indexed="64"/>
          <bgColor theme="2" tint="-9.9978637043366805E-2"/>
        </patternFill>
      </fill>
    </dxf>
    <dxf>
      <font>
        <b/>
      </font>
      <fill>
        <patternFill patternType="solid">
          <fgColor indexed="64"/>
          <bgColor theme="2" tint="-9.9978637043366805E-2"/>
        </patternFill>
      </fill>
    </dxf>
    <dxf>
      <font>
        <b/>
      </font>
      <fill>
        <patternFill patternType="solid">
          <fgColor indexed="64"/>
          <bgColor theme="2" tint="-9.9978637043366805E-2"/>
        </patternFill>
      </fill>
    </dxf>
    <dxf>
      <font>
        <b/>
      </font>
      <fill>
        <patternFill patternType="solid">
          <fgColor indexed="64"/>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ont>
        <b/>
      </font>
    </dxf>
    <dxf>
      <font>
        <b/>
      </font>
    </dxf>
    <dxf>
      <font>
        <b/>
      </font>
    </dxf>
    <dxf>
      <font>
        <b/>
      </font>
    </dxf>
    <dxf>
      <font>
        <b/>
      </font>
    </dxf>
    <dxf>
      <font>
        <b/>
      </font>
    </dxf>
    <dxf>
      <font>
        <b/>
      </font>
    </dxf>
    <dxf>
      <font>
        <b/>
      </font>
    </dxf>
    <dxf>
      <font>
        <b/>
      </font>
    </dxf>
    <dxf>
      <font>
        <b/>
      </font>
      <fill>
        <patternFill patternType="solid">
          <fgColor indexed="64"/>
          <bgColor theme="2" tint="-9.9978637043366805E-2"/>
        </patternFill>
      </fill>
    </dxf>
    <dxf>
      <font>
        <b/>
      </font>
      <fill>
        <patternFill patternType="solid">
          <fgColor indexed="64"/>
          <bgColor theme="2" tint="-9.9978637043366805E-2"/>
        </patternFill>
      </fill>
    </dxf>
    <dxf>
      <font>
        <b/>
      </font>
      <fill>
        <patternFill patternType="solid">
          <fgColor indexed="64"/>
          <bgColor theme="2" tint="-9.9978637043366805E-2"/>
        </patternFill>
      </fill>
    </dxf>
    <dxf>
      <font>
        <b/>
      </font>
      <fill>
        <patternFill patternType="solid">
          <fgColor indexed="64"/>
          <bgColor theme="2" tint="-9.9978637043366805E-2"/>
        </patternFill>
      </fill>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numFmt numFmtId="166" formatCode="&quot;$&quot;#,##0.00"/>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ont>
        <b/>
      </font>
    </dxf>
    <dxf>
      <font>
        <b/>
      </font>
    </dxf>
    <dxf>
      <font>
        <b/>
      </font>
    </dxf>
    <dxf>
      <font>
        <b/>
      </font>
    </dxf>
    <dxf>
      <font>
        <b/>
      </font>
    </dxf>
    <dxf>
      <font>
        <b/>
      </font>
    </dxf>
    <dxf>
      <font>
        <b/>
      </font>
    </dxf>
    <dxf>
      <font>
        <b/>
      </font>
    </dxf>
    <dxf>
      <font>
        <b/>
      </font>
    </dxf>
    <dxf>
      <font>
        <b/>
      </font>
      <fill>
        <patternFill patternType="solid">
          <fgColor indexed="64"/>
          <bgColor theme="2" tint="-9.9978637043366805E-2"/>
        </patternFill>
      </fill>
    </dxf>
    <dxf>
      <font>
        <b/>
      </font>
      <fill>
        <patternFill patternType="solid">
          <fgColor indexed="64"/>
          <bgColor theme="2" tint="-9.9978637043366805E-2"/>
        </patternFill>
      </fill>
    </dxf>
    <dxf>
      <font>
        <b/>
      </font>
      <fill>
        <patternFill patternType="solid">
          <fgColor indexed="64"/>
          <bgColor theme="2" tint="-9.9978637043366805E-2"/>
        </patternFill>
      </fill>
    </dxf>
    <dxf>
      <font>
        <b/>
      </font>
      <fill>
        <patternFill patternType="solid">
          <fgColor indexed="64"/>
          <bgColor theme="2" tint="-9.9978637043366805E-2"/>
        </patternFill>
      </fill>
    </dxf>
    <dxf>
      <numFmt numFmtId="0" formatCode="General"/>
    </dxf>
    <dxf>
      <numFmt numFmtId="0" formatCode="General"/>
    </dxf>
    <dxf>
      <numFmt numFmtId="0" formatCode="General"/>
    </dxf>
    <dxf>
      <numFmt numFmtId="0" formatCode="General"/>
    </dxf>
    <dxf>
      <font>
        <b/>
      </font>
      <fill>
        <patternFill patternType="solid">
          <fgColor indexed="64"/>
          <bgColor theme="2" tint="-9.9978637043366805E-2"/>
        </patternFill>
      </fill>
    </dxf>
    <dxf>
      <font>
        <b/>
      </font>
      <fill>
        <patternFill patternType="solid">
          <fgColor indexed="64"/>
          <bgColor theme="2" tint="-9.9978637043366805E-2"/>
        </patternFill>
      </fill>
    </dxf>
    <dxf>
      <font>
        <b/>
      </font>
      <fill>
        <patternFill patternType="solid">
          <fgColor indexed="64"/>
          <bgColor theme="2" tint="-9.9978637043366805E-2"/>
        </patternFill>
      </fill>
    </dxf>
    <dxf>
      <font>
        <b/>
      </font>
      <fill>
        <patternFill patternType="solid">
          <fgColor indexed="64"/>
          <bgColor theme="2" tint="-9.9978637043366805E-2"/>
        </patternFill>
      </fill>
    </dxf>
    <dxf>
      <font>
        <b/>
      </font>
    </dxf>
    <dxf>
      <font>
        <b/>
      </font>
    </dxf>
    <dxf>
      <font>
        <b/>
      </font>
    </dxf>
    <dxf>
      <font>
        <b/>
      </font>
    </dxf>
    <dxf>
      <font>
        <b/>
      </font>
    </dxf>
    <dxf>
      <font>
        <b/>
      </font>
    </dxf>
    <dxf>
      <font>
        <b/>
      </font>
    </dxf>
    <dxf>
      <font>
        <b/>
      </font>
    </dxf>
    <dxf>
      <font>
        <b/>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[AMAROK LR AS OF 06-30-26.xlsx]Chart!PivotTable7</c:name>
    <c:fmtId val="0"/>
  </c:pivotSource>
  <c:chart>
    <c:autoTitleDeleted val="1"/>
    <c:pivotFmts>
      <c:pivotFmt>
        <c:idx val="0"/>
        <c:spPr>
          <a:solidFill>
            <a:schemeClr val="accent1"/>
          </a:solidFill>
          <a:ln>
            <a:noFill/>
            <a:prstDash val="solid"/>
          </a:ln>
        </c:spPr>
        <c:marker>
          <c:symbol val="none"/>
        </c:marker>
        <c:dLbl>
          <c:idx val="0"/>
          <c:spPr>
            <a:solidFill>
              <a:schemeClr val="bg1"/>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prstDash val="solid"/>
            <a:round/>
          </a:ln>
        </c:spPr>
        <c:marker>
          <c:symbol val="none"/>
        </c:marker>
        <c:dLbl>
          <c:idx val="0"/>
          <c:spPr>
            <a:solidFill>
              <a:schemeClr val="accent2"/>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solidFill>
              <a:schemeClr val="accent2"/>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col"/>
        <c:grouping val="clustered"/>
        <c:varyColors val="0"/>
        <c:ser>
          <c:idx val="0"/>
          <c:order val="0"/>
          <c:tx>
            <c:strRef>
              <c:f>Chart!$B$1:$B$2</c:f>
              <c:strCache>
                <c:ptCount val="1"/>
                <c:pt idx="0">
                  <c:v>Number of Claims</c:v>
                </c:pt>
              </c:strCache>
            </c:strRef>
          </c:tx>
          <c:spPr>
            <a:solidFill>
              <a:schemeClr val="accent1"/>
            </a:solidFill>
            <a:ln>
              <a:noFill/>
              <a:prstDash val="solid"/>
            </a:ln>
          </c:spPr>
          <c:invertIfNegative val="0"/>
          <c:dLbls>
            <c:spPr>
              <a:solidFill>
                <a:schemeClr val="bg1"/>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Chart!$A$3:$A$4</c:f>
              <c:strCache>
                <c:ptCount val="1"/>
                <c:pt idx="0">
                  <c:v>2025</c:v>
                </c:pt>
              </c:strCache>
            </c:strRef>
          </c:cat>
          <c:val>
            <c:numRef>
              <c:f>Chart!$B$3:$B$4</c:f>
              <c:numCache>
                <c:formatCode>General</c:formatCode>
                <c:ptCount val="1"/>
                <c:pt idx="0">
                  <c:v>33</c:v>
                </c:pt>
              </c:numCache>
            </c:numRef>
          </c:val>
          <c:extLst>
            <c:ext xmlns:c16="http://schemas.microsoft.com/office/drawing/2014/chart" uri="{C3380CC4-5D6E-409C-BE32-E72D297353CC}">
              <c16:uniqueId val="{00000000-2AF0-43C4-A47D-5BDA054DE143}"/>
            </c:ext>
          </c:extLst>
        </c:ser>
        <c:dLbls>
          <c:dLblPos val="ctr"/>
          <c:showLegendKey val="0"/>
          <c:showVal val="1"/>
          <c:showCatName val="0"/>
          <c:showSerName val="0"/>
          <c:showPercent val="0"/>
          <c:showBubbleSize val="0"/>
        </c:dLbls>
        <c:gapWidth val="219"/>
        <c:overlap val="-27"/>
        <c:axId val="2104105008"/>
        <c:axId val="2104106448"/>
      </c:barChart>
      <c:lineChart>
        <c:grouping val="standard"/>
        <c:varyColors val="0"/>
        <c:ser>
          <c:idx val="1"/>
          <c:order val="1"/>
          <c:tx>
            <c:strRef>
              <c:f>Chart!$C$1:$C$2</c:f>
              <c:strCache>
                <c:ptCount val="1"/>
                <c:pt idx="0">
                  <c:v>Sum of Total Incurred</c:v>
                </c:pt>
              </c:strCache>
            </c:strRef>
          </c:tx>
          <c:spPr>
            <a:ln w="28575" cap="rnd">
              <a:solidFill>
                <a:schemeClr val="accent2"/>
              </a:solidFill>
              <a:prstDash val="solid"/>
              <a:round/>
            </a:ln>
          </c:spPr>
          <c:marker>
            <c:symbol val="none"/>
          </c:marker>
          <c:dLbls>
            <c:spPr>
              <a:solidFill>
                <a:schemeClr val="accent2"/>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Chart!$A$3:$A$4</c:f>
              <c:strCache>
                <c:ptCount val="1"/>
                <c:pt idx="0">
                  <c:v>2025</c:v>
                </c:pt>
              </c:strCache>
            </c:strRef>
          </c:cat>
          <c:val>
            <c:numRef>
              <c:f>Chart!$C$3:$C$4</c:f>
              <c:numCache>
                <c:formatCode>"$"#,##0.00</c:formatCode>
                <c:ptCount val="1"/>
                <c:pt idx="0">
                  <c:v>186969.07925415039</c:v>
                </c:pt>
              </c:numCache>
            </c:numRef>
          </c:val>
          <c:smooth val="0"/>
          <c:extLst>
            <c:ext xmlns:c16="http://schemas.microsoft.com/office/drawing/2014/chart" uri="{C3380CC4-5D6E-409C-BE32-E72D297353CC}">
              <c16:uniqueId val="{00000001-2AF0-43C4-A47D-5BDA054DE143}"/>
            </c:ext>
          </c:extLst>
        </c:ser>
        <c:dLbls>
          <c:dLblPos val="ctr"/>
          <c:showLegendKey val="0"/>
          <c:showVal val="1"/>
          <c:showCatName val="0"/>
          <c:showSerName val="0"/>
          <c:showPercent val="0"/>
          <c:showBubbleSize val="0"/>
        </c:dLbls>
        <c:marker val="1"/>
        <c:smooth val="0"/>
        <c:axId val="2104088208"/>
        <c:axId val="2104085808"/>
      </c:lineChart>
      <c:catAx>
        <c:axId val="210410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104106448"/>
        <c:crosses val="autoZero"/>
        <c:auto val="1"/>
        <c:lblAlgn val="ctr"/>
        <c:lblOffset val="100"/>
        <c:noMultiLvlLbl val="0"/>
      </c:catAx>
      <c:valAx>
        <c:axId val="2104106448"/>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104105008"/>
        <c:crosses val="autoZero"/>
        <c:crossBetween val="between"/>
      </c:valAx>
      <c:catAx>
        <c:axId val="2104088208"/>
        <c:scaling>
          <c:orientation val="minMax"/>
        </c:scaling>
        <c:delete val="1"/>
        <c:axPos val="b"/>
        <c:numFmt formatCode="General" sourceLinked="1"/>
        <c:majorTickMark val="out"/>
        <c:minorTickMark val="none"/>
        <c:tickLblPos val="nextTo"/>
        <c:crossAx val="2104085808"/>
        <c:crosses val="autoZero"/>
        <c:auto val="1"/>
        <c:lblAlgn val="ctr"/>
        <c:lblOffset val="100"/>
        <c:noMultiLvlLbl val="0"/>
      </c:catAx>
      <c:valAx>
        <c:axId val="2104085808"/>
        <c:scaling>
          <c:orientation val="minMax"/>
        </c:scaling>
        <c:delete val="0"/>
        <c:axPos val="r"/>
        <c:numFmt formatCode="&quot;$&quot;#,##0.00"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104088208"/>
        <c:crosses val="max"/>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0</xdr:colOff>
      <xdr:row>0</xdr:row>
      <xdr:rowOff>1638300</xdr:rowOff>
    </xdr:to>
    <xdr:pic>
      <xdr:nvPicPr>
        <xdr:cNvPr id="2" name="Picture 2" descr="image00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8448675" cy="1638300"/>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562926</xdr:colOff>
      <xdr:row>6</xdr:row>
      <xdr:rowOff>76199</xdr:rowOff>
    </xdr:from>
    <xdr:to>
      <xdr:col>20</xdr:col>
      <xdr:colOff>342899</xdr:colOff>
      <xdr:row>27</xdr:row>
      <xdr:rowOff>19049</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EPAOLO, WALTER J" refreshedDate="46212.559753009256" createdVersion="8" refreshedVersion="8" minRefreshableVersion="3" recordCount="55" xr:uid="{00000000-000A-0000-FFFF-FFFF11000000}">
  <cacheSource type="worksheet">
    <worksheetSource name="ClaimsData"/>
  </cacheSource>
  <cacheFields count="55">
    <cacheField name="Customer Number" numFmtId="0">
      <sharedItems/>
    </cacheField>
    <cacheField name="Policy Insured Name" numFmtId="0">
      <sharedItems/>
    </cacheField>
    <cacheField name="Claim Number" numFmtId="0">
      <sharedItems count="36">
        <s v="78-00429417"/>
        <s v="78-00433612"/>
        <s v="83-00166663"/>
        <s v="83-00167707"/>
        <s v="83-00167708"/>
        <s v="83-00167709"/>
        <s v="83-00167710"/>
        <s v="83-00167711"/>
        <s v="83-00169838"/>
        <s v="83-00170804"/>
        <s v="83-00173191"/>
        <s v="83-00175637"/>
        <s v="83-00176294"/>
        <s v="83-00179880"/>
        <s v="85-00864395"/>
        <s v="85-00885574"/>
        <s v="85-00898010"/>
        <s v="85-00913097"/>
        <s v="85-00916705"/>
        <s v="85-00918044"/>
        <s v="85-00920876"/>
        <s v="85-00937525"/>
        <s v="85-00937891"/>
        <s v="85-00939799"/>
        <s v="85-00945427"/>
        <s v="85-00947346"/>
        <s v="85-00953464"/>
        <s v="85-00956047"/>
        <s v="85-00957177"/>
        <s v="85-00957994"/>
        <s v="85-00961929"/>
        <s v="85-00962472"/>
        <s v="85-00966101"/>
        <s v="00-01010101" u="1"/>
        <s v="00-01010100" u="1"/>
        <s v="00-01010102" u="1"/>
      </sharedItems>
    </cacheField>
    <cacheField name="Exposure" numFmtId="0">
      <sharedItems count="5">
        <s v="01"/>
        <s v="02"/>
        <s v="03"/>
        <s v="04"/>
        <s v="05"/>
      </sharedItems>
    </cacheField>
    <cacheField name="Claimant Name" numFmtId="0">
      <sharedItems count="29">
        <s v="AMAROK LLC"/>
        <s v="Fleming, Patrick"/>
        <s v="Flores, Gilbert"/>
        <s v="Reed, Lonnie"/>
        <s v="Lashley, Barry"/>
        <s v="Spradley, Brian"/>
        <s v="Lopez, Cesar"/>
        <s v="Carson, Jennie"/>
        <s v="Wallace, Tien"/>
        <s v="Anderson, Travis"/>
        <s v="James, Rodney"/>
        <s v="Allison, Joshua"/>
        <s v="American United Transportation"/>
        <s v="Termores, Dennis"/>
        <s v="Collier, Rowmeeka"/>
        <s v="Killis, James"/>
        <s v="Sarkissian, Aram"/>
        <s v="Merck Sharp and Dohme"/>
        <s v="Ramirez, Efrain"/>
        <s v="Vilchakovska, Viktoriia"/>
        <s v="Maison, James"/>
        <s v="UNKNOWN"/>
        <s v="Johnson, Kendall"/>
        <s v="National Car Rental"/>
        <s v="Zapata, Jesus"/>
        <s v="Hunter, Gregory"/>
        <s v="Sutherland, Chad"/>
        <s v="Grant, Richard"/>
        <s v="TEST" u="1"/>
      </sharedItems>
    </cacheField>
    <cacheField name="Account Location Identifier" numFmtId="0">
      <sharedItems containsBlank="1" count="8">
        <m/>
        <s v="California"/>
        <s v="550 Assembly St, Columbia, SC"/>
        <s v="Georgia"/>
        <s v="Indiana"/>
        <s v="261 The Boulevard, Columbia, SC"/>
        <s v="Texas"/>
        <s v="TEST" u="1"/>
      </sharedItems>
    </cacheField>
    <cacheField name="Accident State" numFmtId="0">
      <sharedItems/>
    </cacheField>
    <cacheField name="Policy Symbol" numFmtId="0">
      <sharedItems count="4">
        <s v="AH6"/>
        <s v="WD6"/>
        <s v="LH6"/>
        <s v="ABC" u="1"/>
      </sharedItems>
    </cacheField>
    <cacheField name="Policy Number" numFmtId="0">
      <sharedItems/>
    </cacheField>
    <cacheField name="Policy MOD" numFmtId="0">
      <sharedItems/>
    </cacheField>
    <cacheField name="Policy Effective Date" numFmtId="0">
      <sharedItems containsDate="1" containsMixedTypes="1" minDate="2001-01-01T00:00:00" maxDate="2020-01-02T00:00:00" count="3">
        <s v="10/01/2025"/>
        <d v="2020-01-01T00:00:00" u="1"/>
        <d v="2001-01-01T00:00:00" u="1"/>
      </sharedItems>
    </cacheField>
    <cacheField name="Policy Expiration Date" numFmtId="0">
      <sharedItems/>
    </cacheField>
    <cacheField name="Loss Date" numFmtId="0">
      <sharedItems/>
    </cacheField>
    <cacheField name="Date of Notice" numFmtId="0">
      <sharedItems/>
    </cacheField>
    <cacheField name="Lag Time" numFmtId="0">
      <sharedItems containsSemiMixedTypes="0" containsString="0" containsNumber="1" containsInteger="1" minValue="0" maxValue="134"/>
    </cacheField>
    <cacheField name="Claim Status" numFmtId="0">
      <sharedItems count="3">
        <s v="closed"/>
        <s v="open"/>
        <s v="TEST" u="1"/>
      </sharedItems>
    </cacheField>
    <cacheField name="Claim Closed Date" numFmtId="0">
      <sharedItems containsBlank="1"/>
    </cacheField>
    <cacheField name="Coverage" numFmtId="0">
      <sharedItems/>
    </cacheField>
    <cacheField name="Outstanding Loss Reserve" numFmtId="166">
      <sharedItems containsSemiMixedTypes="0" containsString="0" containsNumber="1" minValue="0" maxValue="25000"/>
    </cacheField>
    <cacheField name="Total Paid Loss Net Salvage/Subro/Loss Recovery" numFmtId="166">
      <sharedItems containsSemiMixedTypes="0" containsString="0" containsNumber="1" minValue="0" maxValue="10385.9697265625"/>
    </cacheField>
    <cacheField name="Incurred w/o ALAE" numFmtId="166">
      <sharedItems containsSemiMixedTypes="0" containsString="0" containsNumber="1" minValue="0" maxValue="25000"/>
    </cacheField>
    <cacheField name="ALAE Reserve" numFmtId="166">
      <sharedItems containsSemiMixedTypes="0" containsString="0" containsNumber="1" minValue="0" maxValue="6244.06982421875"/>
    </cacheField>
    <cacheField name="ALAE Paid" numFmtId="166">
      <sharedItems containsSemiMixedTypes="0" containsString="0" containsNumber="1" minValue="0" maxValue="1755.930053710938"/>
    </cacheField>
    <cacheField name="Total Incurred + ALAE" numFmtId="166">
      <sharedItems containsSemiMixedTypes="0" containsString="0" containsNumber="1" minValue="0" maxValue="30000"/>
    </cacheField>
    <cacheField name="Salvage Recovery" numFmtId="166">
      <sharedItems containsSemiMixedTypes="0" containsString="0" containsNumber="1" minValue="-10123.099609375" maxValue="0"/>
    </cacheField>
    <cacheField name="Subro Recovery" numFmtId="166">
      <sharedItems containsSemiMixedTypes="0" containsString="0" containsNumber="1" minValue="-27675.5" maxValue="0"/>
    </cacheField>
    <cacheField name="Loss Recovery" numFmtId="166">
      <sharedItems containsSemiMixedTypes="0" containsString="0" containsNumber="1" minValue="-18369.169921875" maxValue="0"/>
    </cacheField>
    <cacheField name="Deductible Recovery" numFmtId="166">
      <sharedItems containsSemiMixedTypes="0" containsString="0" containsNumber="1" containsInteger="1" minValue="0" maxValue="0"/>
    </cacheField>
    <cacheField name="Expense Recovery" numFmtId="166">
      <sharedItems containsSemiMixedTypes="0" containsString="0" containsNumber="1" containsInteger="1" minValue="-30" maxValue="0"/>
    </cacheField>
    <cacheField name="Litigation Status" numFmtId="0">
      <sharedItems containsBlank="1" count="3">
        <m/>
        <s v="In litigation"/>
        <s v="TEST" u="1"/>
      </sharedItems>
    </cacheField>
    <cacheField name="Cause Of Loss" numFmtId="0">
      <sharedItems count="19">
        <s v="Comprehensive Auto"/>
        <s v="H6-Lower Leg"/>
        <s v="MP-Multiple Body Parts"/>
        <s v="H5-Knee"/>
        <s v="F7-Multiple Trunk"/>
        <s v="F2-Chest (Ribs)"/>
        <s v="B3-Other soft facial tissue"/>
        <s v="F6-Lower Back"/>
        <s v="Lane Change/Merge Accident"/>
        <s v="Backing Accident"/>
        <s v="Intersection Accident"/>
        <s v="Struck Other Object"/>
        <s v="Professional Liability"/>
        <s v="Struck By Other Object"/>
        <s v="Passing Sideswipe Accident"/>
        <s v="Vehicle Damage"/>
        <s v="Rear End Accident"/>
        <s v="Multiple Vehicle Accident"/>
        <s v="TEST" u="1"/>
      </sharedItems>
    </cacheField>
    <cacheField name="Description of Loss" numFmtId="0">
      <sharedItems count="18">
        <s v="Glass Breakage"/>
        <s v="D4-Strain"/>
        <s v="C4-Lacerations"/>
        <s v="B6-Fracture"/>
        <s v="IV Departed Lane-Hit OV"/>
        <s v="IV Struck Other Object"/>
        <s v="IV And OV Going Straight"/>
        <s v="IV Struck Parked OV"/>
        <s v="Electrocution"/>
        <s v="OV Struck IV"/>
        <s v="IV Sideswiped OV"/>
        <s v="Struck by Falling/Flying Object"/>
        <s v="IV Rear Ended OV"/>
        <s v="OV Rear Ended IV"/>
        <s v="Chemical/Smoke/Fumes"/>
        <s v="Electrical Shock"/>
        <s v="Struck Against Object"/>
        <s v="TEST" u="1"/>
      </sharedItems>
    </cacheField>
    <cacheField name="Contributing Factor" numFmtId="0">
      <sharedItems count="18">
        <s v="Unspecified"/>
        <s v="F2-Fall/slip - ladder"/>
        <s v="J1-Collision with another vehicle"/>
        <s v="F6-Fall/slip - miscellaneous"/>
        <s v="L9-Strain or injury by - misc."/>
        <s v="P3-Struck by - obj. handled by Oth"/>
        <s v="Safety Bollard"/>
        <s v="OV Ran Sign/Light"/>
        <s v="Parking Lot"/>
        <s v="Weather Related Conditions"/>
        <s v="Attorney Letter"/>
        <s v="OV Opened Door"/>
        <s v="OV Parked"/>
        <s v="Gate"/>
        <s v="Rental"/>
        <s v="Personal Injury"/>
        <s v="Post"/>
        <s v="TEST" u="1"/>
      </sharedItems>
    </cacheField>
    <cacheField name="Product" numFmtId="0">
      <sharedItems containsNonDate="0" containsString="0" containsBlank="1"/>
    </cacheField>
    <cacheField name="Manufacturer" numFmtId="0">
      <sharedItems containsNonDate="0" containsString="0" containsBlank="1"/>
    </cacheField>
    <cacheField name="Policy Region Description" numFmtId="0">
      <sharedItems containsNonDate="0" containsString="0" containsBlank="1"/>
    </cacheField>
    <cacheField name="Policy Holder Retailer Desc" numFmtId="0">
      <sharedItems containsNonDate="0" containsString="0" containsBlank="1"/>
    </cacheField>
    <cacheField name="Policy Holder Claim Number" numFmtId="0">
      <sharedItems containsNonDate="0" containsString="0" containsBlank="1"/>
    </cacheField>
    <cacheField name="Occupation" numFmtId="0">
      <sharedItems/>
    </cacheField>
    <cacheField name="Accident Day Of Week" numFmtId="0">
      <sharedItems/>
    </cacheField>
    <cacheField name="Insured Driver" numFmtId="0">
      <sharedItems/>
    </cacheField>
    <cacheField name="Total Loss Indicator" numFmtId="0">
      <sharedItems containsBlank="1"/>
    </cacheField>
    <cacheField name="Vehicle Year" numFmtId="0">
      <sharedItems containsString="0" containsBlank="1" containsNumber="1" containsInteger="1" minValue="2023" maxValue="2026"/>
    </cacheField>
    <cacheField name="Vehicle Manufacturer" numFmtId="0">
      <sharedItems containsBlank="1"/>
    </cacheField>
    <cacheField name="Vehicle Model" numFmtId="0">
      <sharedItems containsBlank="1"/>
    </cacheField>
    <cacheField name="Vehicle ID Number" numFmtId="0">
      <sharedItems containsBlank="1"/>
    </cacheField>
    <cacheField name="Vehicle License Plate" numFmtId="0">
      <sharedItems containsBlank="1"/>
    </cacheField>
    <cacheField name="Vehicle License State" numFmtId="0">
      <sharedItems containsBlank="1"/>
    </cacheField>
    <cacheField name="Adjuster" numFmtId="0">
      <sharedItems/>
    </cacheField>
    <cacheField name="Policy" numFmtId="0">
      <sharedItems count="4">
        <s v="AH6-M147006-00"/>
        <s v="WD6-M147769-00"/>
        <s v="LH6-M167160-00"/>
        <s v="TEST" u="1"/>
      </sharedItems>
    </cacheField>
    <cacheField name="Policy Year" numFmtId="0">
      <sharedItems containsSemiMixedTypes="0" containsString="0" containsNumber="1" containsInteger="1" minValue="2001" maxValue="2025" count="3">
        <n v="2025"/>
        <n v="2020" u="1"/>
        <n v="2001" u="1"/>
      </sharedItems>
    </cacheField>
    <cacheField name="Claims above 50K" numFmtId="0">
      <sharedItems containsSemiMixedTypes="0" containsString="0" containsNumber="1" containsInteger="1" minValue="0" maxValue="0" count="1">
        <n v="0"/>
      </sharedItems>
    </cacheField>
    <cacheField name="Claim Feature Number" numFmtId="0">
      <sharedItems/>
    </cacheField>
    <cacheField name="Total Incurred" numFmtId="0">
      <sharedItems containsSemiMixedTypes="0" containsString="0" containsNumber="1" minValue="0" maxValue="25000"/>
    </cacheField>
    <cacheField name="Distinct Claim Helper"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s v="1521764304"/>
    <s v="AMAROK LLC"/>
    <x v="0"/>
    <x v="0"/>
    <x v="0"/>
    <x v="0"/>
    <s v="SC"/>
    <x v="0"/>
    <s v="M147006"/>
    <s v="00"/>
    <x v="0"/>
    <s v="10/01/2026"/>
    <s v="03/05/2026"/>
    <s v="03/25/2026"/>
    <n v="20"/>
    <x v="0"/>
    <s v="03/31/2026"/>
    <s v="Comprehensive"/>
    <n v="0"/>
    <n v="573.969970703125"/>
    <n v="573.969970703125"/>
    <n v="0"/>
    <n v="0"/>
    <n v="573.969970703125"/>
    <n v="0"/>
    <n v="0"/>
    <n v="0"/>
    <n v="0"/>
    <n v="0"/>
    <x v="0"/>
    <x v="0"/>
    <x v="0"/>
    <x v="0"/>
    <m/>
    <m/>
    <m/>
    <m/>
    <m/>
    <s v=" "/>
    <s v="Thursday"/>
    <s v=" "/>
    <s v="N"/>
    <n v="2024"/>
    <s v="CHEVROLET"/>
    <s v="EXPRESS"/>
    <s v="1GCWGBFP6R1269262"/>
    <s v="CZYM20"/>
    <s v="SC"/>
    <s v="TEAM, GLASS/TOW"/>
    <x v="0"/>
    <x v="0"/>
    <x v="0"/>
    <s v="78-0042941701"/>
    <n v="573.969970703125"/>
    <n v="1"/>
  </r>
  <r>
    <s v="1521764304"/>
    <s v="AMAROK LLC"/>
    <x v="1"/>
    <x v="0"/>
    <x v="0"/>
    <x v="0"/>
    <s v="SC"/>
    <x v="0"/>
    <s v="M147006"/>
    <s v="00"/>
    <x v="0"/>
    <s v="10/01/2026"/>
    <s v="04/02/2026"/>
    <s v="04/28/2026"/>
    <n v="26"/>
    <x v="0"/>
    <s v="04/29/2026"/>
    <s v="Comprehensive"/>
    <n v="0"/>
    <n v="579.58001708984375"/>
    <n v="579.58001708984375"/>
    <n v="0"/>
    <n v="0"/>
    <n v="579.58001708984375"/>
    <n v="0"/>
    <n v="0"/>
    <n v="0"/>
    <n v="0"/>
    <n v="0"/>
    <x v="0"/>
    <x v="0"/>
    <x v="0"/>
    <x v="0"/>
    <m/>
    <m/>
    <m/>
    <m/>
    <m/>
    <s v=" "/>
    <s v="Thursday"/>
    <s v=" "/>
    <s v="N"/>
    <n v="2025"/>
    <s v="CHEVROLET"/>
    <s v="EXPRESS"/>
    <s v="1GCWGBFP0S1265374"/>
    <s v="P917045"/>
    <s v="SC"/>
    <s v="TEAM, GLASS/TOW"/>
    <x v="0"/>
    <x v="0"/>
    <x v="0"/>
    <s v="78-0043361201"/>
    <n v="579.58001708984375"/>
    <n v="1"/>
  </r>
  <r>
    <s v="1521764304"/>
    <s v="AMAROK LLC"/>
    <x v="2"/>
    <x v="0"/>
    <x v="1"/>
    <x v="1"/>
    <s v="CA"/>
    <x v="1"/>
    <s v="M147769"/>
    <s v="00"/>
    <x v="0"/>
    <s v="10/01/2026"/>
    <s v="10/17/2025"/>
    <s v="10/20/2025"/>
    <n v="3"/>
    <x v="0"/>
    <s v="01/21/2026"/>
    <s v="WC Coverage - Other than Med"/>
    <n v="0"/>
    <n v="3263.93994140625"/>
    <n v="3263.93994140625"/>
    <n v="0"/>
    <n v="450"/>
    <n v="3713.93994140625"/>
    <n v="0"/>
    <n v="0"/>
    <n v="0"/>
    <n v="0"/>
    <n v="0"/>
    <x v="0"/>
    <x v="1"/>
    <x v="1"/>
    <x v="1"/>
    <m/>
    <m/>
    <m/>
    <m/>
    <m/>
    <s v="field technician"/>
    <s v="Friday"/>
    <s v=" "/>
    <m/>
    <m/>
    <m/>
    <m/>
    <m/>
    <m/>
    <m/>
    <s v="HUFFMAN, JANICE"/>
    <x v="1"/>
    <x v="0"/>
    <x v="0"/>
    <s v="83-0016666301"/>
    <n v="3263.93994140625"/>
    <n v="1"/>
  </r>
  <r>
    <s v="1521764304"/>
    <s v="AMAROK LLC"/>
    <x v="2"/>
    <x v="1"/>
    <x v="1"/>
    <x v="1"/>
    <s v="CA"/>
    <x v="1"/>
    <s v="M147769"/>
    <s v="00"/>
    <x v="0"/>
    <s v="10/01/2026"/>
    <s v="10/17/2025"/>
    <s v="10/20/2025"/>
    <n v="3"/>
    <x v="0"/>
    <s v="01/21/2026"/>
    <s v="WC Coverage -Med Only"/>
    <n v="0"/>
    <n v="3101.610107421875"/>
    <n v="3101.610107421875"/>
    <n v="0"/>
    <n v="584.02001953125"/>
    <n v="3685.6298828125"/>
    <n v="0"/>
    <n v="0"/>
    <n v="0"/>
    <n v="0"/>
    <n v="-30"/>
    <x v="0"/>
    <x v="1"/>
    <x v="1"/>
    <x v="1"/>
    <m/>
    <m/>
    <m/>
    <m/>
    <m/>
    <s v="field technician"/>
    <s v="Friday"/>
    <s v=" "/>
    <m/>
    <m/>
    <m/>
    <m/>
    <m/>
    <m/>
    <m/>
    <s v="HUFFMAN, JANICE"/>
    <x v="1"/>
    <x v="0"/>
    <x v="0"/>
    <s v="83-0016666302"/>
    <n v="3101.610107421875"/>
    <n v="0"/>
  </r>
  <r>
    <s v="1521764304"/>
    <s v="AMAROK LLC"/>
    <x v="3"/>
    <x v="0"/>
    <x v="2"/>
    <x v="2"/>
    <s v="SC"/>
    <x v="1"/>
    <s v="M147769"/>
    <s v="00"/>
    <x v="0"/>
    <s v="10/01/2026"/>
    <s v="11/04/2025"/>
    <s v="11/06/2025"/>
    <n v="2"/>
    <x v="0"/>
    <s v="11/21/2025"/>
    <s v="WC Coverage - Other than Med"/>
    <n v="0"/>
    <n v="0"/>
    <n v="0"/>
    <n v="0"/>
    <n v="0"/>
    <n v="0"/>
    <n v="0"/>
    <n v="0"/>
    <n v="0"/>
    <n v="0"/>
    <n v="0"/>
    <x v="0"/>
    <x v="2"/>
    <x v="1"/>
    <x v="2"/>
    <m/>
    <m/>
    <m/>
    <m/>
    <m/>
    <s v="Unknown"/>
    <s v="Tuesday"/>
    <s v=" "/>
    <m/>
    <m/>
    <m/>
    <m/>
    <m/>
    <m/>
    <m/>
    <s v="FOUNTAIN, BRANDON"/>
    <x v="1"/>
    <x v="0"/>
    <x v="0"/>
    <s v="83-0016770701"/>
    <n v="0"/>
    <n v="1"/>
  </r>
  <r>
    <s v="1521764304"/>
    <s v="AMAROK LLC"/>
    <x v="3"/>
    <x v="1"/>
    <x v="2"/>
    <x v="2"/>
    <s v="SC"/>
    <x v="1"/>
    <s v="M147769"/>
    <s v="00"/>
    <x v="0"/>
    <s v="10/01/2026"/>
    <s v="11/04/2025"/>
    <s v="11/06/2025"/>
    <n v="2"/>
    <x v="0"/>
    <s v="11/21/2025"/>
    <s v="WC Coverage -Med Only"/>
    <n v="0"/>
    <n v="540.6400146484375"/>
    <n v="540.6400146484375"/>
    <n v="0"/>
    <n v="16.75"/>
    <n v="557.3900146484375"/>
    <n v="0"/>
    <n v="0"/>
    <n v="0"/>
    <n v="0"/>
    <n v="0"/>
    <x v="0"/>
    <x v="2"/>
    <x v="1"/>
    <x v="2"/>
    <m/>
    <m/>
    <m/>
    <m/>
    <m/>
    <s v="Unknown"/>
    <s v="Tuesday"/>
    <s v=" "/>
    <m/>
    <m/>
    <m/>
    <m/>
    <m/>
    <m/>
    <m/>
    <s v="FOUNTAIN, BRANDON"/>
    <x v="1"/>
    <x v="0"/>
    <x v="0"/>
    <s v="83-0016770702"/>
    <n v="540.6400146484375"/>
    <n v="0"/>
  </r>
  <r>
    <s v="1521764304"/>
    <s v="AMAROK LLC"/>
    <x v="4"/>
    <x v="0"/>
    <x v="3"/>
    <x v="2"/>
    <s v="SC"/>
    <x v="1"/>
    <s v="M147769"/>
    <s v="00"/>
    <x v="0"/>
    <s v="10/01/2026"/>
    <s v="11/04/2025"/>
    <s v="11/06/2025"/>
    <n v="2"/>
    <x v="0"/>
    <s v="11/21/2025"/>
    <s v="WC Coverage - Other than Med"/>
    <n v="0"/>
    <n v="0"/>
    <n v="0"/>
    <n v="0"/>
    <n v="0"/>
    <n v="0"/>
    <n v="0"/>
    <n v="0"/>
    <n v="0"/>
    <n v="0"/>
    <n v="0"/>
    <x v="0"/>
    <x v="2"/>
    <x v="1"/>
    <x v="2"/>
    <m/>
    <m/>
    <m/>
    <m/>
    <m/>
    <s v="Unknown"/>
    <s v="Tuesday"/>
    <s v=" "/>
    <m/>
    <m/>
    <m/>
    <m/>
    <m/>
    <m/>
    <m/>
    <s v="FOUNTAIN, BRANDON"/>
    <x v="1"/>
    <x v="0"/>
    <x v="0"/>
    <s v="83-0016770801"/>
    <n v="0"/>
    <n v="1"/>
  </r>
  <r>
    <s v="1521764304"/>
    <s v="AMAROK LLC"/>
    <x v="4"/>
    <x v="1"/>
    <x v="3"/>
    <x v="2"/>
    <s v="SC"/>
    <x v="1"/>
    <s v="M147769"/>
    <s v="00"/>
    <x v="0"/>
    <s v="10/01/2026"/>
    <s v="11/04/2025"/>
    <s v="11/06/2025"/>
    <n v="2"/>
    <x v="0"/>
    <s v="11/21/2025"/>
    <s v="WC Coverage -Med Only"/>
    <n v="0"/>
    <n v="1163.7900390625"/>
    <n v="1163.7900390625"/>
    <n v="0"/>
    <n v="40.150001525878913"/>
    <n v="1203.93994140625"/>
    <n v="0"/>
    <n v="0"/>
    <n v="0"/>
    <n v="0"/>
    <n v="0"/>
    <x v="0"/>
    <x v="2"/>
    <x v="1"/>
    <x v="2"/>
    <m/>
    <m/>
    <m/>
    <m/>
    <m/>
    <s v="Unknown"/>
    <s v="Tuesday"/>
    <s v=" "/>
    <m/>
    <m/>
    <m/>
    <m/>
    <m/>
    <m/>
    <m/>
    <s v="FOUNTAIN, BRANDON"/>
    <x v="1"/>
    <x v="0"/>
    <x v="0"/>
    <s v="83-0016770802"/>
    <n v="1163.7900390625"/>
    <n v="0"/>
  </r>
  <r>
    <s v="1521764304"/>
    <s v="AMAROK LLC"/>
    <x v="5"/>
    <x v="0"/>
    <x v="4"/>
    <x v="2"/>
    <s v="SC"/>
    <x v="1"/>
    <s v="M147769"/>
    <s v="00"/>
    <x v="0"/>
    <s v="10/01/2026"/>
    <s v="11/04/2025"/>
    <s v="11/06/2025"/>
    <n v="2"/>
    <x v="0"/>
    <s v="11/21/2025"/>
    <s v="WC Coverage - Other than Med"/>
    <n v="0"/>
    <n v="0"/>
    <n v="0"/>
    <n v="0"/>
    <n v="0"/>
    <n v="0"/>
    <n v="0"/>
    <n v="0"/>
    <n v="0"/>
    <n v="0"/>
    <n v="0"/>
    <x v="0"/>
    <x v="2"/>
    <x v="1"/>
    <x v="2"/>
    <m/>
    <m/>
    <m/>
    <m/>
    <m/>
    <s v="Unknown"/>
    <s v="Tuesday"/>
    <s v=" "/>
    <m/>
    <m/>
    <m/>
    <m/>
    <m/>
    <m/>
    <m/>
    <s v="FOUNTAIN, BRANDON"/>
    <x v="1"/>
    <x v="0"/>
    <x v="0"/>
    <s v="83-0016770901"/>
    <n v="0"/>
    <n v="1"/>
  </r>
  <r>
    <s v="1521764304"/>
    <s v="AMAROK LLC"/>
    <x v="5"/>
    <x v="1"/>
    <x v="4"/>
    <x v="2"/>
    <s v="SC"/>
    <x v="1"/>
    <s v="M147769"/>
    <s v="00"/>
    <x v="0"/>
    <s v="10/01/2026"/>
    <s v="11/04/2025"/>
    <s v="11/06/2025"/>
    <n v="2"/>
    <x v="0"/>
    <s v="11/21/2025"/>
    <s v="WC Coverage -Med Only"/>
    <n v="0"/>
    <n v="893.29998779296875"/>
    <n v="893.29998779296875"/>
    <n v="0"/>
    <n v="23.25"/>
    <n v="916.54998779296875"/>
    <n v="0"/>
    <n v="0"/>
    <n v="0"/>
    <n v="0"/>
    <n v="0"/>
    <x v="0"/>
    <x v="2"/>
    <x v="1"/>
    <x v="2"/>
    <m/>
    <m/>
    <m/>
    <m/>
    <m/>
    <s v="Unknown"/>
    <s v="Tuesday"/>
    <s v=" "/>
    <m/>
    <m/>
    <m/>
    <m/>
    <m/>
    <m/>
    <m/>
    <s v="FOUNTAIN, BRANDON"/>
    <x v="1"/>
    <x v="0"/>
    <x v="0"/>
    <s v="83-0016770902"/>
    <n v="893.29998779296875"/>
    <n v="0"/>
  </r>
  <r>
    <s v="1521764304"/>
    <s v="AMAROK LLC"/>
    <x v="6"/>
    <x v="0"/>
    <x v="5"/>
    <x v="2"/>
    <s v="SC"/>
    <x v="1"/>
    <s v="M147769"/>
    <s v="00"/>
    <x v="0"/>
    <s v="10/01/2026"/>
    <s v="11/04/2025"/>
    <s v="11/06/2025"/>
    <n v="2"/>
    <x v="0"/>
    <s v="11/21/2025"/>
    <s v="WC Coverage - Other than Med"/>
    <n v="0"/>
    <n v="0"/>
    <n v="0"/>
    <n v="0"/>
    <n v="0"/>
    <n v="0"/>
    <n v="0"/>
    <n v="0"/>
    <n v="0"/>
    <n v="0"/>
    <n v="0"/>
    <x v="0"/>
    <x v="2"/>
    <x v="1"/>
    <x v="2"/>
    <m/>
    <m/>
    <m/>
    <m/>
    <m/>
    <s v="Unknown"/>
    <s v="Tuesday"/>
    <s v=" "/>
    <m/>
    <m/>
    <m/>
    <m/>
    <m/>
    <m/>
    <m/>
    <s v="FOUNTAIN, BRANDON"/>
    <x v="1"/>
    <x v="0"/>
    <x v="0"/>
    <s v="83-0016771001"/>
    <n v="0"/>
    <n v="1"/>
  </r>
  <r>
    <s v="1521764304"/>
    <s v="AMAROK LLC"/>
    <x v="6"/>
    <x v="1"/>
    <x v="5"/>
    <x v="2"/>
    <s v="SC"/>
    <x v="1"/>
    <s v="M147769"/>
    <s v="00"/>
    <x v="0"/>
    <s v="10/01/2026"/>
    <s v="11/04/2025"/>
    <s v="11/06/2025"/>
    <n v="2"/>
    <x v="0"/>
    <s v="11/21/2025"/>
    <s v="WC Coverage -Med Only"/>
    <n v="0"/>
    <n v="1044.68994140625"/>
    <n v="1044.68994140625"/>
    <n v="0"/>
    <n v="33.5"/>
    <n v="1078.18994140625"/>
    <n v="0"/>
    <n v="0"/>
    <n v="0"/>
    <n v="0"/>
    <n v="0"/>
    <x v="0"/>
    <x v="2"/>
    <x v="1"/>
    <x v="2"/>
    <m/>
    <m/>
    <m/>
    <m/>
    <m/>
    <s v="Unknown"/>
    <s v="Tuesday"/>
    <s v=" "/>
    <m/>
    <m/>
    <m/>
    <m/>
    <m/>
    <m/>
    <m/>
    <s v="FOUNTAIN, BRANDON"/>
    <x v="1"/>
    <x v="0"/>
    <x v="0"/>
    <s v="83-0016771002"/>
    <n v="1044.68994140625"/>
    <n v="0"/>
  </r>
  <r>
    <s v="1521764304"/>
    <s v="AMAROK LLC"/>
    <x v="7"/>
    <x v="0"/>
    <x v="6"/>
    <x v="2"/>
    <s v="SC"/>
    <x v="1"/>
    <s v="M147769"/>
    <s v="00"/>
    <x v="0"/>
    <s v="10/01/2026"/>
    <s v="11/04/2025"/>
    <s v="11/06/2025"/>
    <n v="2"/>
    <x v="0"/>
    <s v="11/21/2025"/>
    <s v="WC Coverage - Other than Med"/>
    <n v="0"/>
    <n v="0"/>
    <n v="0"/>
    <n v="0"/>
    <n v="0"/>
    <n v="0"/>
    <n v="0"/>
    <n v="0"/>
    <n v="0"/>
    <n v="0"/>
    <n v="0"/>
    <x v="0"/>
    <x v="2"/>
    <x v="1"/>
    <x v="2"/>
    <m/>
    <m/>
    <m/>
    <m/>
    <m/>
    <s v="Unknown"/>
    <s v="Tuesday"/>
    <s v=" "/>
    <m/>
    <m/>
    <m/>
    <m/>
    <m/>
    <m/>
    <m/>
    <s v="FOUNTAIN, BRANDON"/>
    <x v="1"/>
    <x v="0"/>
    <x v="0"/>
    <s v="83-0016771101"/>
    <n v="0"/>
    <n v="1"/>
  </r>
  <r>
    <s v="1521764304"/>
    <s v="AMAROK LLC"/>
    <x v="7"/>
    <x v="1"/>
    <x v="6"/>
    <x v="2"/>
    <s v="SC"/>
    <x v="1"/>
    <s v="M147769"/>
    <s v="00"/>
    <x v="0"/>
    <s v="10/01/2026"/>
    <s v="11/04/2025"/>
    <s v="11/06/2025"/>
    <n v="2"/>
    <x v="0"/>
    <s v="11/21/2025"/>
    <s v="WC Coverage -Med Only"/>
    <n v="0"/>
    <n v="0"/>
    <n v="0"/>
    <n v="0"/>
    <n v="16.75"/>
    <n v="16.75"/>
    <n v="0"/>
    <n v="0"/>
    <n v="0"/>
    <n v="0"/>
    <n v="0"/>
    <x v="0"/>
    <x v="2"/>
    <x v="1"/>
    <x v="2"/>
    <m/>
    <m/>
    <m/>
    <m/>
    <m/>
    <s v="Unknown"/>
    <s v="Tuesday"/>
    <s v=" "/>
    <m/>
    <m/>
    <m/>
    <m/>
    <m/>
    <m/>
    <m/>
    <s v="FOUNTAIN, BRANDON"/>
    <x v="1"/>
    <x v="0"/>
    <x v="0"/>
    <s v="83-0016771102"/>
    <n v="0"/>
    <n v="0"/>
  </r>
  <r>
    <s v="1521764304"/>
    <s v="AMAROK LLC"/>
    <x v="8"/>
    <x v="0"/>
    <x v="7"/>
    <x v="3"/>
    <s v="GA"/>
    <x v="1"/>
    <s v="M147769"/>
    <s v="00"/>
    <x v="0"/>
    <s v="10/01/2026"/>
    <s v="12/16/2025"/>
    <s v="12/17/2025"/>
    <n v="1"/>
    <x v="0"/>
    <s v="03/12/2026"/>
    <s v="WC Coverage - Other than Med"/>
    <n v="0"/>
    <n v="0"/>
    <n v="0"/>
    <n v="0"/>
    <n v="0"/>
    <n v="0"/>
    <n v="0"/>
    <n v="0"/>
    <n v="0"/>
    <n v="0"/>
    <n v="0"/>
    <x v="0"/>
    <x v="3"/>
    <x v="2"/>
    <x v="3"/>
    <m/>
    <m/>
    <m/>
    <m/>
    <m/>
    <s v="Field Tech"/>
    <s v="Tuesday"/>
    <s v=" "/>
    <m/>
    <m/>
    <m/>
    <m/>
    <m/>
    <m/>
    <m/>
    <s v="MUNS, MEGAN"/>
    <x v="1"/>
    <x v="0"/>
    <x v="0"/>
    <s v="83-0016983801"/>
    <n v="0"/>
    <n v="1"/>
  </r>
  <r>
    <s v="1521764304"/>
    <s v="AMAROK LLC"/>
    <x v="8"/>
    <x v="1"/>
    <x v="7"/>
    <x v="3"/>
    <s v="GA"/>
    <x v="1"/>
    <s v="M147769"/>
    <s v="00"/>
    <x v="0"/>
    <s v="10/01/2026"/>
    <s v="12/16/2025"/>
    <s v="12/17/2025"/>
    <n v="1"/>
    <x v="0"/>
    <s v="03/12/2026"/>
    <s v="WC Coverage -Med Only"/>
    <n v="0"/>
    <n v="773.03997802734375"/>
    <n v="773.03997802734375"/>
    <n v="0"/>
    <n v="17.889999389648441"/>
    <n v="790.92999267578125"/>
    <n v="0"/>
    <n v="0"/>
    <n v="0"/>
    <n v="0"/>
    <n v="0"/>
    <x v="0"/>
    <x v="3"/>
    <x v="2"/>
    <x v="3"/>
    <m/>
    <m/>
    <m/>
    <m/>
    <m/>
    <s v="Field Tech"/>
    <s v="Tuesday"/>
    <s v=" "/>
    <m/>
    <m/>
    <m/>
    <m/>
    <m/>
    <m/>
    <m/>
    <s v="MUNS, MEGAN"/>
    <x v="1"/>
    <x v="0"/>
    <x v="0"/>
    <s v="83-0016983802"/>
    <n v="773.03997802734375"/>
    <n v="0"/>
  </r>
  <r>
    <s v="1521764304"/>
    <s v="AMAROK LLC"/>
    <x v="9"/>
    <x v="0"/>
    <x v="1"/>
    <x v="1"/>
    <s v="CA"/>
    <x v="1"/>
    <s v="M147769"/>
    <s v="00"/>
    <x v="0"/>
    <s v="10/01/2026"/>
    <s v="01/07/2026"/>
    <s v="01/09/2026"/>
    <n v="2"/>
    <x v="1"/>
    <m/>
    <s v="WC Coverage - Other than Med"/>
    <n v="6731.39013671875"/>
    <n v="8268.6103515625"/>
    <n v="15000"/>
    <n v="6244.06982421875"/>
    <n v="1755.930053710938"/>
    <n v="23000"/>
    <n v="0"/>
    <n v="0"/>
    <n v="0"/>
    <n v="0"/>
    <n v="0"/>
    <x v="1"/>
    <x v="4"/>
    <x v="1"/>
    <x v="2"/>
    <m/>
    <m/>
    <m/>
    <m/>
    <m/>
    <s v="field technician"/>
    <s v="Wednesday"/>
    <s v=" "/>
    <m/>
    <m/>
    <m/>
    <m/>
    <m/>
    <m/>
    <m/>
    <s v="LOZANO, ASHLEY"/>
    <x v="1"/>
    <x v="0"/>
    <x v="0"/>
    <s v="83-0017080401"/>
    <n v="15000"/>
    <n v="1"/>
  </r>
  <r>
    <s v="1521764304"/>
    <s v="AMAROK LLC"/>
    <x v="9"/>
    <x v="1"/>
    <x v="1"/>
    <x v="1"/>
    <s v="CA"/>
    <x v="1"/>
    <s v="M147769"/>
    <s v="00"/>
    <x v="0"/>
    <s v="10/01/2026"/>
    <s v="01/07/2026"/>
    <s v="01/09/2026"/>
    <n v="2"/>
    <x v="1"/>
    <m/>
    <s v="WC Coverage -Med Only"/>
    <n v="4652.60009765625"/>
    <n v="9099.919921875"/>
    <n v="13752.51953125"/>
    <n v="0"/>
    <n v="1136.329956054688"/>
    <n v="14888.849609375"/>
    <n v="0"/>
    <n v="0"/>
    <n v="-9.4099998474121094"/>
    <n v="0"/>
    <n v="0"/>
    <x v="1"/>
    <x v="4"/>
    <x v="1"/>
    <x v="2"/>
    <m/>
    <m/>
    <m/>
    <m/>
    <m/>
    <s v="field technician"/>
    <s v="Wednesday"/>
    <s v=" "/>
    <m/>
    <m/>
    <m/>
    <m/>
    <m/>
    <m/>
    <m/>
    <s v="LOZANO, ASHLEY"/>
    <x v="1"/>
    <x v="0"/>
    <x v="0"/>
    <s v="83-0017080402"/>
    <n v="13752.51953125"/>
    <n v="0"/>
  </r>
  <r>
    <s v="1521764304"/>
    <s v="AMAROK LLC"/>
    <x v="10"/>
    <x v="0"/>
    <x v="8"/>
    <x v="4"/>
    <s v="IN"/>
    <x v="1"/>
    <s v="M147769"/>
    <s v="00"/>
    <x v="0"/>
    <s v="10/01/2026"/>
    <s v="02/02/2026"/>
    <s v="02/18/2026"/>
    <n v="16"/>
    <x v="1"/>
    <m/>
    <s v="WC Coverage - Other than Med"/>
    <n v="0"/>
    <n v="0"/>
    <n v="0"/>
    <n v="0"/>
    <n v="0"/>
    <n v="0"/>
    <n v="0"/>
    <n v="0"/>
    <n v="0"/>
    <n v="0"/>
    <n v="0"/>
    <x v="0"/>
    <x v="5"/>
    <x v="3"/>
    <x v="1"/>
    <m/>
    <m/>
    <m/>
    <m/>
    <m/>
    <s v="Field Tech"/>
    <s v="Monday"/>
    <s v=" "/>
    <m/>
    <m/>
    <m/>
    <m/>
    <m/>
    <m/>
    <m/>
    <s v="FOWLER, JENNA"/>
    <x v="1"/>
    <x v="0"/>
    <x v="0"/>
    <s v="83-0017319101"/>
    <n v="0"/>
    <n v="1"/>
  </r>
  <r>
    <s v="1521764304"/>
    <s v="AMAROK LLC"/>
    <x v="10"/>
    <x v="1"/>
    <x v="8"/>
    <x v="4"/>
    <s v="IN"/>
    <x v="1"/>
    <s v="M147769"/>
    <s v="00"/>
    <x v="0"/>
    <s v="10/01/2026"/>
    <s v="02/02/2026"/>
    <s v="02/18/2026"/>
    <n v="16"/>
    <x v="1"/>
    <m/>
    <s v="WC Coverage -Med Only"/>
    <n v="2500"/>
    <n v="0"/>
    <n v="2500"/>
    <n v="0"/>
    <n v="0"/>
    <n v="2500"/>
    <n v="0"/>
    <n v="0"/>
    <n v="0"/>
    <n v="0"/>
    <n v="0"/>
    <x v="0"/>
    <x v="5"/>
    <x v="3"/>
    <x v="1"/>
    <m/>
    <m/>
    <m/>
    <m/>
    <m/>
    <s v="Field Tech"/>
    <s v="Monday"/>
    <s v=" "/>
    <m/>
    <m/>
    <m/>
    <m/>
    <m/>
    <m/>
    <m/>
    <s v="FOWLER, JENNA"/>
    <x v="1"/>
    <x v="0"/>
    <x v="0"/>
    <s v="83-0017319102"/>
    <n v="2500"/>
    <n v="0"/>
  </r>
  <r>
    <s v="1521764304"/>
    <s v="AMAROK LLC"/>
    <x v="11"/>
    <x v="0"/>
    <x v="9"/>
    <x v="5"/>
    <s v="SC"/>
    <x v="1"/>
    <s v="M147769"/>
    <s v="00"/>
    <x v="0"/>
    <s v="10/01/2026"/>
    <s v="03/11/2026"/>
    <s v="03/30/2026"/>
    <n v="19"/>
    <x v="0"/>
    <s v="04/06/2026"/>
    <s v="WC Coverage - Other than Med"/>
    <n v="0"/>
    <n v="0"/>
    <n v="0"/>
    <n v="0"/>
    <n v="0"/>
    <n v="0"/>
    <n v="0"/>
    <n v="0"/>
    <n v="0"/>
    <n v="0"/>
    <n v="0"/>
    <x v="0"/>
    <x v="3"/>
    <x v="1"/>
    <x v="4"/>
    <m/>
    <m/>
    <m/>
    <m/>
    <m/>
    <s v="Warehouse Logistics Coordinator"/>
    <s v="Wednesday"/>
    <s v=" "/>
    <m/>
    <m/>
    <m/>
    <m/>
    <m/>
    <m/>
    <m/>
    <s v="GADDAM, TINEAL"/>
    <x v="1"/>
    <x v="0"/>
    <x v="0"/>
    <s v="83-0017563701"/>
    <n v="0"/>
    <n v="1"/>
  </r>
  <r>
    <s v="1521764304"/>
    <s v="AMAROK LLC"/>
    <x v="11"/>
    <x v="1"/>
    <x v="9"/>
    <x v="5"/>
    <s v="SC"/>
    <x v="1"/>
    <s v="M147769"/>
    <s v="00"/>
    <x v="0"/>
    <s v="10/01/2026"/>
    <s v="03/11/2026"/>
    <s v="03/30/2026"/>
    <n v="19"/>
    <x v="0"/>
    <s v="04/06/2026"/>
    <s v="WC Coverage -Med Only"/>
    <n v="0"/>
    <n v="0"/>
    <n v="0"/>
    <n v="0"/>
    <n v="0"/>
    <n v="0"/>
    <n v="0"/>
    <n v="0"/>
    <n v="0"/>
    <n v="0"/>
    <n v="0"/>
    <x v="0"/>
    <x v="3"/>
    <x v="1"/>
    <x v="4"/>
    <m/>
    <m/>
    <m/>
    <m/>
    <m/>
    <s v="Warehouse Logistics Coordinator"/>
    <s v="Wednesday"/>
    <s v=" "/>
    <m/>
    <m/>
    <m/>
    <m/>
    <m/>
    <m/>
    <m/>
    <s v="GADDAM, TINEAL"/>
    <x v="1"/>
    <x v="0"/>
    <x v="0"/>
    <s v="83-0017563702"/>
    <n v="0"/>
    <n v="0"/>
  </r>
  <r>
    <s v="1521764304"/>
    <s v="AMAROK LLC"/>
    <x v="12"/>
    <x v="0"/>
    <x v="10"/>
    <x v="6"/>
    <s v="TX"/>
    <x v="1"/>
    <s v="M147769"/>
    <s v="00"/>
    <x v="0"/>
    <s v="10/01/2026"/>
    <s v="04/06/2026"/>
    <s v="04/10/2026"/>
    <n v="4"/>
    <x v="1"/>
    <m/>
    <s v="WC Coverage - Other than Med"/>
    <n v="0"/>
    <n v="0"/>
    <n v="0"/>
    <n v="0"/>
    <n v="0"/>
    <n v="0"/>
    <n v="0"/>
    <n v="0"/>
    <n v="0"/>
    <n v="0"/>
    <n v="0"/>
    <x v="0"/>
    <x v="6"/>
    <x v="2"/>
    <x v="5"/>
    <m/>
    <m/>
    <m/>
    <m/>
    <m/>
    <s v="field technician"/>
    <s v="Monday"/>
    <s v=" "/>
    <m/>
    <m/>
    <m/>
    <m/>
    <m/>
    <m/>
    <m/>
    <s v="MONTES JR, FRANK"/>
    <x v="1"/>
    <x v="0"/>
    <x v="0"/>
    <s v="83-0017629401"/>
    <n v="0"/>
    <n v="1"/>
  </r>
  <r>
    <s v="1521764304"/>
    <s v="AMAROK LLC"/>
    <x v="12"/>
    <x v="1"/>
    <x v="10"/>
    <x v="6"/>
    <s v="TX"/>
    <x v="1"/>
    <s v="M147769"/>
    <s v="00"/>
    <x v="0"/>
    <s v="10/01/2026"/>
    <s v="04/06/2026"/>
    <s v="04/10/2026"/>
    <n v="4"/>
    <x v="1"/>
    <m/>
    <s v="WC Coverage -Med Only"/>
    <n v="2041.010009765625"/>
    <n v="458.989990234375"/>
    <n v="2500"/>
    <n v="0"/>
    <n v="0"/>
    <n v="2500"/>
    <n v="0"/>
    <n v="0"/>
    <n v="0"/>
    <n v="0"/>
    <n v="0"/>
    <x v="0"/>
    <x v="6"/>
    <x v="2"/>
    <x v="5"/>
    <m/>
    <m/>
    <m/>
    <m/>
    <m/>
    <s v="field technician"/>
    <s v="Monday"/>
    <s v=" "/>
    <m/>
    <m/>
    <m/>
    <m/>
    <m/>
    <m/>
    <m/>
    <s v="MONTES JR, FRANK"/>
    <x v="1"/>
    <x v="0"/>
    <x v="0"/>
    <s v="83-0017629402"/>
    <n v="2500"/>
    <n v="0"/>
  </r>
  <r>
    <s v="1521764304"/>
    <s v="AMAROK LLC"/>
    <x v="13"/>
    <x v="0"/>
    <x v="11"/>
    <x v="3"/>
    <s v="GA"/>
    <x v="1"/>
    <s v="M147769"/>
    <s v="00"/>
    <x v="0"/>
    <s v="10/01/2026"/>
    <s v="06/08/2026"/>
    <s v="06/09/2026"/>
    <n v="1"/>
    <x v="1"/>
    <m/>
    <s v="WC Coverage - Other than Med"/>
    <n v="0"/>
    <n v="0"/>
    <n v="0"/>
    <n v="0"/>
    <n v="0"/>
    <n v="0"/>
    <n v="0"/>
    <n v="0"/>
    <n v="0"/>
    <n v="0"/>
    <n v="0"/>
    <x v="0"/>
    <x v="7"/>
    <x v="1"/>
    <x v="1"/>
    <m/>
    <m/>
    <m/>
    <m/>
    <m/>
    <s v="field technician"/>
    <s v="Monday"/>
    <s v=" "/>
    <m/>
    <m/>
    <m/>
    <m/>
    <m/>
    <m/>
    <m/>
    <s v="GADDAM, TINEAL"/>
    <x v="1"/>
    <x v="0"/>
    <x v="0"/>
    <s v="83-0017988001"/>
    <n v="0"/>
    <n v="1"/>
  </r>
  <r>
    <s v="1521764304"/>
    <s v="AMAROK LLC"/>
    <x v="13"/>
    <x v="1"/>
    <x v="11"/>
    <x v="3"/>
    <s v="GA"/>
    <x v="1"/>
    <s v="M147769"/>
    <s v="00"/>
    <x v="0"/>
    <s v="10/01/2026"/>
    <s v="06/08/2026"/>
    <s v="06/09/2026"/>
    <n v="1"/>
    <x v="1"/>
    <m/>
    <s v="WC Coverage -Med Only"/>
    <n v="2500"/>
    <n v="0"/>
    <n v="2500"/>
    <n v="0"/>
    <n v="0"/>
    <n v="2500"/>
    <n v="0"/>
    <n v="0"/>
    <n v="0"/>
    <n v="0"/>
    <n v="0"/>
    <x v="0"/>
    <x v="7"/>
    <x v="1"/>
    <x v="1"/>
    <m/>
    <m/>
    <m/>
    <m/>
    <m/>
    <s v="field technician"/>
    <s v="Monday"/>
    <s v=" "/>
    <m/>
    <m/>
    <m/>
    <m/>
    <m/>
    <m/>
    <m/>
    <s v="GADDAM, TINEAL"/>
    <x v="1"/>
    <x v="0"/>
    <x v="0"/>
    <s v="83-0017988002"/>
    <n v="2500"/>
    <n v="0"/>
  </r>
  <r>
    <s v="1521764304"/>
    <s v="AMAROK LLC"/>
    <x v="14"/>
    <x v="0"/>
    <x v="12"/>
    <x v="0"/>
    <s v="NY"/>
    <x v="0"/>
    <s v="M147006"/>
    <s v="00"/>
    <x v="0"/>
    <s v="10/01/2026"/>
    <s v="10/16/2025"/>
    <s v="10/27/2025"/>
    <n v="11"/>
    <x v="0"/>
    <s v="02/02/2026"/>
    <s v="Liability - VehicleDamage"/>
    <n v="0"/>
    <n v="3917.139892578125"/>
    <n v="3917.139892578125"/>
    <n v="0"/>
    <n v="0"/>
    <n v="3917.139892578125"/>
    <n v="0"/>
    <n v="0"/>
    <n v="0"/>
    <n v="0"/>
    <n v="0"/>
    <x v="0"/>
    <x v="8"/>
    <x v="4"/>
    <x v="0"/>
    <m/>
    <m/>
    <m/>
    <m/>
    <m/>
    <s v=" "/>
    <s v="Thursday"/>
    <s v="Isiah Miller"/>
    <m/>
    <m/>
    <m/>
    <m/>
    <m/>
    <m/>
    <m/>
    <s v="BLISS, AMANDA"/>
    <x v="0"/>
    <x v="0"/>
    <x v="0"/>
    <s v="85-0086439501"/>
    <n v="3917.139892578125"/>
    <n v="1"/>
  </r>
  <r>
    <s v="1521764304"/>
    <s v="AMAROK LLC"/>
    <x v="15"/>
    <x v="0"/>
    <x v="0"/>
    <x v="0"/>
    <s v="CA"/>
    <x v="0"/>
    <s v="M147006"/>
    <s v="00"/>
    <x v="0"/>
    <s v="10/01/2026"/>
    <s v="10/14/2025"/>
    <s v="12/10/2025"/>
    <n v="57"/>
    <x v="0"/>
    <s v="12/30/2025"/>
    <s v="Collision"/>
    <n v="0"/>
    <n v="4181.72998046875"/>
    <n v="4181.72998046875"/>
    <n v="0"/>
    <n v="0"/>
    <n v="4181.72998046875"/>
    <n v="0"/>
    <n v="0"/>
    <n v="0"/>
    <n v="0"/>
    <n v="0"/>
    <x v="0"/>
    <x v="9"/>
    <x v="5"/>
    <x v="6"/>
    <m/>
    <m/>
    <m/>
    <m/>
    <m/>
    <s v=" "/>
    <s v="Tuesday"/>
    <s v="Edgar Estrella"/>
    <s v="N"/>
    <n v="2023"/>
    <s v="GMC"/>
    <s v="Savana"/>
    <s v="1GTW7BFPXP1188648"/>
    <m/>
    <s v="CA"/>
    <s v="WALKER, TYSON"/>
    <x v="0"/>
    <x v="0"/>
    <x v="0"/>
    <s v="85-0088557401"/>
    <n v="4181.72998046875"/>
    <n v="1"/>
  </r>
  <r>
    <s v="1521764304"/>
    <s v="AMAROK LLC"/>
    <x v="16"/>
    <x v="0"/>
    <x v="0"/>
    <x v="0"/>
    <s v="CA"/>
    <x v="0"/>
    <s v="M147006"/>
    <s v="00"/>
    <x v="0"/>
    <s v="10/01/2026"/>
    <s v="01/07/2026"/>
    <s v="01/09/2026"/>
    <n v="2"/>
    <x v="0"/>
    <s v="03/06/2026"/>
    <s v="Collision"/>
    <n v="0"/>
    <n v="10385.9697265625"/>
    <n v="10385.9697265625"/>
    <n v="0"/>
    <n v="0"/>
    <n v="10385.9697265625"/>
    <n v="-10123.099609375"/>
    <n v="-27675.5"/>
    <n v="-18369.169921875"/>
    <n v="0"/>
    <n v="0"/>
    <x v="0"/>
    <x v="10"/>
    <x v="6"/>
    <x v="7"/>
    <m/>
    <m/>
    <m/>
    <m/>
    <m/>
    <s v=" "/>
    <s v="Wednesday"/>
    <s v="Patrick Fleming"/>
    <s v="Y"/>
    <n v="2025"/>
    <s v="CHEVROLET"/>
    <s v="Express 2500"/>
    <s v="1GCWGBFP5S1206451"/>
    <m/>
    <s v="CA"/>
    <s v="FREUND, DANIEL"/>
    <x v="0"/>
    <x v="0"/>
    <x v="0"/>
    <s v="85-0089801001"/>
    <n v="10385.9697265625"/>
    <n v="1"/>
  </r>
  <r>
    <s v="1521764304"/>
    <s v="AMAROK LLC"/>
    <x v="17"/>
    <x v="0"/>
    <x v="0"/>
    <x v="0"/>
    <s v="CA"/>
    <x v="0"/>
    <s v="M147006"/>
    <s v="00"/>
    <x v="0"/>
    <s v="10/01/2026"/>
    <s v="02/06/2026"/>
    <s v="02/06/2026"/>
    <n v="0"/>
    <x v="0"/>
    <s v="05/02/2026"/>
    <s v="Collision"/>
    <n v="0"/>
    <n v="0"/>
    <n v="0"/>
    <n v="0"/>
    <n v="0"/>
    <n v="0"/>
    <n v="0"/>
    <n v="0"/>
    <n v="0"/>
    <n v="0"/>
    <n v="0"/>
    <x v="0"/>
    <x v="11"/>
    <x v="7"/>
    <x v="8"/>
    <m/>
    <m/>
    <m/>
    <m/>
    <m/>
    <s v=" "/>
    <s v="Friday"/>
    <s v="Gavin Hendriks"/>
    <s v="N"/>
    <n v="2025"/>
    <s v="Chevy"/>
    <s v="EXPRESS"/>
    <s v="1GCWGBFP2S1206519"/>
    <s v="Y9948560"/>
    <s v="CA"/>
    <s v="GREGOIRE, DANIELLE"/>
    <x v="0"/>
    <x v="0"/>
    <x v="0"/>
    <s v="85-0091309701"/>
    <n v="0"/>
    <n v="1"/>
  </r>
  <r>
    <s v="1521764304"/>
    <s v="AMAROK LLC"/>
    <x v="17"/>
    <x v="1"/>
    <x v="13"/>
    <x v="0"/>
    <s v="CA"/>
    <x v="0"/>
    <s v="M147006"/>
    <s v="00"/>
    <x v="0"/>
    <s v="10/01/2026"/>
    <s v="02/06/2026"/>
    <s v="02/06/2026"/>
    <n v="0"/>
    <x v="0"/>
    <s v="05/02/2026"/>
    <s v="Liability - VehicleDamage"/>
    <n v="0"/>
    <n v="2048.5400390625"/>
    <n v="2048.5400390625"/>
    <n v="0"/>
    <n v="0"/>
    <n v="2048.5400390625"/>
    <n v="0"/>
    <n v="0"/>
    <n v="0"/>
    <n v="0"/>
    <n v="0"/>
    <x v="0"/>
    <x v="11"/>
    <x v="7"/>
    <x v="8"/>
    <m/>
    <m/>
    <m/>
    <m/>
    <m/>
    <s v=" "/>
    <s v="Friday"/>
    <s v="Gavin Hendriks"/>
    <m/>
    <m/>
    <m/>
    <m/>
    <m/>
    <m/>
    <m/>
    <s v="GREGOIRE, DANIELLE"/>
    <x v="0"/>
    <x v="0"/>
    <x v="0"/>
    <s v="85-0091309702"/>
    <n v="2048.5400390625"/>
    <n v="0"/>
  </r>
  <r>
    <s v="1521764304"/>
    <s v="AMAROK LLC"/>
    <x v="18"/>
    <x v="0"/>
    <x v="0"/>
    <x v="0"/>
    <s v="MA"/>
    <x v="0"/>
    <s v="M147006"/>
    <s v="00"/>
    <x v="0"/>
    <s v="10/01/2026"/>
    <s v="02/12/2026"/>
    <s v="02/13/2026"/>
    <n v="1"/>
    <x v="1"/>
    <m/>
    <s v="Collision"/>
    <n v="0"/>
    <n v="0"/>
    <n v="0"/>
    <n v="0"/>
    <n v="0"/>
    <n v="0"/>
    <n v="0"/>
    <n v="0"/>
    <n v="0"/>
    <n v="0"/>
    <n v="0"/>
    <x v="0"/>
    <x v="9"/>
    <x v="5"/>
    <x v="9"/>
    <m/>
    <m/>
    <m/>
    <m/>
    <m/>
    <s v=" "/>
    <s v="Thursday"/>
    <s v="Isaiah Miller"/>
    <s v="N"/>
    <n v="2024"/>
    <s v="GMC"/>
    <s v="Savana"/>
    <m/>
    <m/>
    <s v="MA"/>
    <s v="BLISS, AMANDA"/>
    <x v="0"/>
    <x v="0"/>
    <x v="0"/>
    <s v="85-0091670501"/>
    <n v="0"/>
    <n v="1"/>
  </r>
  <r>
    <s v="1521764304"/>
    <s v="AMAROK LLC"/>
    <x v="19"/>
    <x v="0"/>
    <x v="14"/>
    <x v="2"/>
    <s v="CA"/>
    <x v="2"/>
    <s v="M167160"/>
    <s v="00"/>
    <x v="0"/>
    <s v="10/01/2026"/>
    <s v="01/30/2026"/>
    <s v="02/18/2026"/>
    <n v="19"/>
    <x v="1"/>
    <m/>
    <s v="Premises/Operations-Advertising Personal Injury Bodily Injury"/>
    <n v="25000"/>
    <n v="0"/>
    <n v="25000"/>
    <n v="5000"/>
    <n v="0"/>
    <n v="30000"/>
    <n v="0"/>
    <n v="0"/>
    <n v="0"/>
    <n v="0"/>
    <n v="0"/>
    <x v="0"/>
    <x v="12"/>
    <x v="8"/>
    <x v="10"/>
    <m/>
    <m/>
    <m/>
    <m/>
    <m/>
    <s v=" "/>
    <s v="Friday"/>
    <s v=" "/>
    <m/>
    <m/>
    <m/>
    <m/>
    <m/>
    <m/>
    <m/>
    <s v="RALPHS, BRIAN"/>
    <x v="2"/>
    <x v="0"/>
    <x v="0"/>
    <s v="85-0091804401"/>
    <n v="25000"/>
    <n v="1"/>
  </r>
  <r>
    <s v="1521764304"/>
    <s v="AMAROK LLC"/>
    <x v="20"/>
    <x v="0"/>
    <x v="15"/>
    <x v="2"/>
    <s v="IL"/>
    <x v="2"/>
    <s v="M167160"/>
    <s v="00"/>
    <x v="0"/>
    <s v="10/01/2026"/>
    <s v="12/16/2025"/>
    <s v="02/23/2026"/>
    <n v="69"/>
    <x v="1"/>
    <m/>
    <s v="Premises/Operations-Advertising Personal Injury Bodily Injury"/>
    <n v="99"/>
    <n v="0"/>
    <n v="99"/>
    <n v="0"/>
    <n v="0"/>
    <n v="99"/>
    <n v="0"/>
    <n v="0"/>
    <n v="0"/>
    <n v="0"/>
    <n v="0"/>
    <x v="0"/>
    <x v="12"/>
    <x v="8"/>
    <x v="10"/>
    <m/>
    <m/>
    <m/>
    <m/>
    <m/>
    <s v=" "/>
    <s v="Tuesday"/>
    <s v=" "/>
    <m/>
    <m/>
    <m/>
    <m/>
    <m/>
    <m/>
    <m/>
    <s v="RALPHS, BRIAN"/>
    <x v="2"/>
    <x v="0"/>
    <x v="0"/>
    <s v="85-0092087601"/>
    <n v="99"/>
    <n v="1"/>
  </r>
  <r>
    <s v="1521764304"/>
    <s v="AMAROK LLC"/>
    <x v="21"/>
    <x v="0"/>
    <x v="0"/>
    <x v="0"/>
    <s v="CA"/>
    <x v="0"/>
    <s v="M147006"/>
    <s v="00"/>
    <x v="0"/>
    <s v="10/01/2026"/>
    <s v="03/20/2026"/>
    <s v="03/24/2026"/>
    <n v="4"/>
    <x v="1"/>
    <m/>
    <s v="Collision"/>
    <n v="0"/>
    <n v="401.42001342773438"/>
    <n v="401.42001342773438"/>
    <n v="0"/>
    <n v="0"/>
    <n v="401.42001342773438"/>
    <n v="0"/>
    <n v="0"/>
    <n v="0"/>
    <n v="0"/>
    <n v="0"/>
    <x v="0"/>
    <x v="13"/>
    <x v="9"/>
    <x v="11"/>
    <m/>
    <m/>
    <m/>
    <m/>
    <m/>
    <s v=" "/>
    <s v="Friday"/>
    <s v="MARCOS PENA"/>
    <s v="N"/>
    <n v="2025"/>
    <s v="CHEVROLET"/>
    <s v="EXPRESS"/>
    <s v="1GCWGBFPXS1199304"/>
    <s v="82022J4"/>
    <s v="CA"/>
    <s v="MANCINI, MICHAEL"/>
    <x v="0"/>
    <x v="0"/>
    <x v="0"/>
    <s v="85-0093752501"/>
    <n v="401.42001342773438"/>
    <n v="1"/>
  </r>
  <r>
    <s v="1521764304"/>
    <s v="AMAROK LLC"/>
    <x v="21"/>
    <x v="1"/>
    <x v="16"/>
    <x v="0"/>
    <s v="CA"/>
    <x v="0"/>
    <s v="M147006"/>
    <s v="00"/>
    <x v="0"/>
    <s v="10/01/2026"/>
    <s v="03/20/2026"/>
    <s v="03/24/2026"/>
    <n v="4"/>
    <x v="1"/>
    <m/>
    <s v="Liability - VehicleDamage"/>
    <n v="0"/>
    <n v="0"/>
    <n v="0"/>
    <n v="0"/>
    <n v="0"/>
    <n v="0"/>
    <n v="0"/>
    <n v="0"/>
    <n v="0"/>
    <n v="0"/>
    <n v="0"/>
    <x v="0"/>
    <x v="13"/>
    <x v="9"/>
    <x v="11"/>
    <m/>
    <m/>
    <m/>
    <m/>
    <m/>
    <s v=" "/>
    <s v="Friday"/>
    <s v="MARCOS PENA"/>
    <m/>
    <m/>
    <m/>
    <m/>
    <m/>
    <m/>
    <m/>
    <s v="GREGOIRE, DANIELLE"/>
    <x v="0"/>
    <x v="0"/>
    <x v="0"/>
    <s v="85-0093752502"/>
    <n v="0"/>
    <n v="0"/>
  </r>
  <r>
    <s v="1521764304"/>
    <s v="AMAROK LLC"/>
    <x v="22"/>
    <x v="0"/>
    <x v="0"/>
    <x v="0"/>
    <s v="OR"/>
    <x v="0"/>
    <s v="M147006"/>
    <s v="00"/>
    <x v="0"/>
    <s v="10/01/2026"/>
    <s v="03/18/2026"/>
    <s v="03/24/2026"/>
    <n v="6"/>
    <x v="0"/>
    <s v="04/29/2026"/>
    <s v="Collision"/>
    <n v="0"/>
    <n v="0"/>
    <n v="0"/>
    <n v="0"/>
    <n v="0"/>
    <n v="0"/>
    <n v="0"/>
    <n v="0"/>
    <n v="0"/>
    <n v="0"/>
    <n v="0"/>
    <x v="0"/>
    <x v="14"/>
    <x v="10"/>
    <x v="12"/>
    <m/>
    <m/>
    <m/>
    <m/>
    <m/>
    <s v=" "/>
    <s v="Wednesday"/>
    <s v="Zack Swindall"/>
    <s v="N"/>
    <n v="2025"/>
    <s v="CHEVROLET"/>
    <s v="EXPRESS"/>
    <s v="1GCWGBFPXS1265429"/>
    <m/>
    <m/>
    <s v="MANCINI, MICHAEL"/>
    <x v="0"/>
    <x v="0"/>
    <x v="0"/>
    <s v="85-0093789101"/>
    <n v="0"/>
    <n v="1"/>
  </r>
  <r>
    <s v="1521764304"/>
    <s v="AMAROK LLC"/>
    <x v="22"/>
    <x v="1"/>
    <x v="17"/>
    <x v="0"/>
    <s v="OR"/>
    <x v="0"/>
    <s v="M147006"/>
    <s v="00"/>
    <x v="0"/>
    <s v="10/01/2026"/>
    <s v="03/18/2026"/>
    <s v="03/24/2026"/>
    <n v="6"/>
    <x v="0"/>
    <s v="04/29/2026"/>
    <s v="Liability - VehicleDamage"/>
    <n v="0"/>
    <n v="2042.859985351562"/>
    <n v="2042.859985351562"/>
    <n v="0"/>
    <n v="0"/>
    <n v="2042.859985351562"/>
    <n v="0"/>
    <n v="0"/>
    <n v="0"/>
    <n v="0"/>
    <n v="0"/>
    <x v="0"/>
    <x v="14"/>
    <x v="10"/>
    <x v="12"/>
    <m/>
    <m/>
    <m/>
    <m/>
    <m/>
    <s v=" "/>
    <s v="Wednesday"/>
    <s v="Zack Swindall"/>
    <m/>
    <m/>
    <m/>
    <m/>
    <m/>
    <m/>
    <m/>
    <s v="MANCINI, MICHAEL"/>
    <x v="0"/>
    <x v="0"/>
    <x v="0"/>
    <s v="85-0093789102"/>
    <n v="2042.859985351562"/>
    <n v="0"/>
  </r>
  <r>
    <s v="1521764304"/>
    <s v="AMAROK LLC"/>
    <x v="23"/>
    <x v="0"/>
    <x v="18"/>
    <x v="0"/>
    <s v="GA"/>
    <x v="2"/>
    <s v="M167160"/>
    <s v="00"/>
    <x v="0"/>
    <s v="10/01/2026"/>
    <s v="03/12/2026"/>
    <s v="03/26/2026"/>
    <n v="14"/>
    <x v="0"/>
    <s v="05/12/2026"/>
    <s v="Premises/Operations-Advertising Personal Injury Vehicle Damage"/>
    <n v="0"/>
    <n v="4683.509765625"/>
    <n v="4683.509765625"/>
    <n v="0"/>
    <n v="0"/>
    <n v="4683.509765625"/>
    <n v="0"/>
    <n v="0"/>
    <n v="0"/>
    <n v="0"/>
    <n v="0"/>
    <x v="0"/>
    <x v="15"/>
    <x v="11"/>
    <x v="13"/>
    <m/>
    <m/>
    <m/>
    <m/>
    <m/>
    <s v=" "/>
    <s v="Thursday"/>
    <s v=" "/>
    <m/>
    <m/>
    <m/>
    <m/>
    <m/>
    <m/>
    <m/>
    <s v="GOLSCH, JENNIFER"/>
    <x v="2"/>
    <x v="0"/>
    <x v="0"/>
    <s v="85-0093979901"/>
    <n v="4683.509765625"/>
    <n v="1"/>
  </r>
  <r>
    <s v="1521764304"/>
    <s v="AMAROK LLC"/>
    <x v="24"/>
    <x v="0"/>
    <x v="0"/>
    <x v="0"/>
    <s v="SC"/>
    <x v="0"/>
    <s v="M147006"/>
    <s v="00"/>
    <x v="0"/>
    <s v="10/01/2026"/>
    <s v="04/07/2026"/>
    <s v="04/09/2026"/>
    <n v="2"/>
    <x v="1"/>
    <m/>
    <s v="Collision"/>
    <n v="2700"/>
    <n v="0"/>
    <n v="2700"/>
    <n v="0"/>
    <n v="8.25"/>
    <n v="2708.25"/>
    <n v="0"/>
    <n v="0"/>
    <n v="0"/>
    <n v="0"/>
    <n v="0"/>
    <x v="0"/>
    <x v="16"/>
    <x v="12"/>
    <x v="0"/>
    <m/>
    <m/>
    <m/>
    <m/>
    <m/>
    <s v=" "/>
    <s v="Tuesday"/>
    <s v="Michael Meahl"/>
    <s v="N"/>
    <n v="2024"/>
    <s v="CHEVR"/>
    <s v="EXPRE"/>
    <s v="1GCWGBFP6R1269021"/>
    <s v="P895591"/>
    <s v="SC"/>
    <s v="MANCINI, MICHAEL"/>
    <x v="0"/>
    <x v="0"/>
    <x v="0"/>
    <s v="85-0094542701"/>
    <n v="2700"/>
    <n v="1"/>
  </r>
  <r>
    <s v="1521764304"/>
    <s v="AMAROK LLC"/>
    <x v="24"/>
    <x v="1"/>
    <x v="19"/>
    <x v="0"/>
    <s v="SC"/>
    <x v="0"/>
    <s v="M147006"/>
    <s v="00"/>
    <x v="0"/>
    <s v="10/01/2026"/>
    <s v="04/07/2026"/>
    <s v="04/09/2026"/>
    <n v="2"/>
    <x v="1"/>
    <m/>
    <s v="Liability - VehicleDamage"/>
    <n v="0"/>
    <n v="5283.8701171875"/>
    <n v="5283.8701171875"/>
    <n v="0"/>
    <n v="0"/>
    <n v="5283.8701171875"/>
    <n v="0"/>
    <n v="0"/>
    <n v="0"/>
    <n v="0"/>
    <n v="0"/>
    <x v="0"/>
    <x v="16"/>
    <x v="12"/>
    <x v="0"/>
    <m/>
    <m/>
    <m/>
    <m/>
    <m/>
    <s v=" "/>
    <s v="Tuesday"/>
    <s v="Michael Meahl"/>
    <m/>
    <m/>
    <m/>
    <m/>
    <m/>
    <m/>
    <m/>
    <s v="MANCINI, MICHAEL"/>
    <x v="0"/>
    <x v="0"/>
    <x v="0"/>
    <s v="85-0094542702"/>
    <n v="5283.8701171875"/>
    <n v="0"/>
  </r>
  <r>
    <s v="1521764304"/>
    <s v="AMAROK LLC"/>
    <x v="24"/>
    <x v="2"/>
    <x v="19"/>
    <x v="0"/>
    <s v="SC"/>
    <x v="0"/>
    <s v="M147006"/>
    <s v="00"/>
    <x v="0"/>
    <s v="10/01/2026"/>
    <s v="04/07/2026"/>
    <s v="04/09/2026"/>
    <n v="2"/>
    <x v="1"/>
    <m/>
    <s v="Liability - Bodily Injury"/>
    <n v="7500"/>
    <n v="0"/>
    <n v="7500"/>
    <n v="0"/>
    <n v="0"/>
    <n v="7500"/>
    <n v="0"/>
    <n v="0"/>
    <n v="0"/>
    <n v="0"/>
    <n v="0"/>
    <x v="0"/>
    <x v="16"/>
    <x v="12"/>
    <x v="0"/>
    <m/>
    <m/>
    <m/>
    <m/>
    <m/>
    <s v=" "/>
    <s v="Tuesday"/>
    <s v="Michael Meahl"/>
    <m/>
    <m/>
    <m/>
    <m/>
    <m/>
    <m/>
    <m/>
    <s v="BULAN, MICHAEL"/>
    <x v="0"/>
    <x v="0"/>
    <x v="0"/>
    <s v="85-0094542703"/>
    <n v="7500"/>
    <n v="0"/>
  </r>
  <r>
    <s v="1521764304"/>
    <s v="AMAROK LLC"/>
    <x v="25"/>
    <x v="0"/>
    <x v="0"/>
    <x v="0"/>
    <s v="LA"/>
    <x v="0"/>
    <s v="M147006"/>
    <s v="00"/>
    <x v="0"/>
    <s v="10/01/2026"/>
    <s v="04/07/2026"/>
    <s v="04/14/2026"/>
    <n v="7"/>
    <x v="1"/>
    <m/>
    <s v="Collision"/>
    <n v="2700"/>
    <n v="0"/>
    <n v="2700"/>
    <n v="0"/>
    <n v="0"/>
    <n v="2700"/>
    <n v="0"/>
    <n v="0"/>
    <n v="0"/>
    <n v="0"/>
    <n v="0"/>
    <x v="0"/>
    <x v="17"/>
    <x v="13"/>
    <x v="0"/>
    <m/>
    <m/>
    <m/>
    <m/>
    <m/>
    <s v=" "/>
    <s v="Tuesday"/>
    <s v="Tre Bridges"/>
    <s v="N"/>
    <n v="2025"/>
    <s v="CHEVR"/>
    <s v="EXPRE"/>
    <s v="1GCWGBFP8S1205388"/>
    <m/>
    <s v="LA"/>
    <s v="FANCHER, MARCUS"/>
    <x v="0"/>
    <x v="0"/>
    <x v="0"/>
    <s v="85-0094734601"/>
    <n v="2700"/>
    <n v="1"/>
  </r>
  <r>
    <s v="1521764304"/>
    <s v="AMAROK LLC"/>
    <x v="25"/>
    <x v="1"/>
    <x v="20"/>
    <x v="0"/>
    <s v="LA"/>
    <x v="0"/>
    <s v="M147006"/>
    <s v="00"/>
    <x v="0"/>
    <s v="10/01/2026"/>
    <s v="04/07/2026"/>
    <s v="04/14/2026"/>
    <n v="7"/>
    <x v="1"/>
    <m/>
    <s v="Liability - VehicleDamage"/>
    <n v="0"/>
    <n v="0"/>
    <n v="0"/>
    <n v="0"/>
    <n v="0"/>
    <n v="0"/>
    <n v="0"/>
    <n v="0"/>
    <n v="0"/>
    <n v="0"/>
    <n v="0"/>
    <x v="0"/>
    <x v="17"/>
    <x v="13"/>
    <x v="0"/>
    <m/>
    <m/>
    <m/>
    <m/>
    <m/>
    <s v=" "/>
    <s v="Tuesday"/>
    <s v=" "/>
    <m/>
    <m/>
    <m/>
    <m/>
    <m/>
    <m/>
    <m/>
    <s v="MANCINI, MICHAEL"/>
    <x v="0"/>
    <x v="0"/>
    <x v="0"/>
    <s v="85-0094734602"/>
    <n v="0"/>
    <n v="0"/>
  </r>
  <r>
    <s v="1521764304"/>
    <s v="AMAROK LLC"/>
    <x v="25"/>
    <x v="2"/>
    <x v="21"/>
    <x v="0"/>
    <s v="LA"/>
    <x v="0"/>
    <s v="M147006"/>
    <s v="00"/>
    <x v="0"/>
    <s v="10/01/2026"/>
    <s v="04/07/2026"/>
    <s v="04/14/2026"/>
    <n v="7"/>
    <x v="1"/>
    <m/>
    <s v="Liability - VehicleDamage"/>
    <n v="0"/>
    <n v="0"/>
    <n v="0"/>
    <n v="0"/>
    <n v="0"/>
    <n v="0"/>
    <n v="0"/>
    <n v="0"/>
    <n v="0"/>
    <n v="0"/>
    <n v="0"/>
    <x v="0"/>
    <x v="17"/>
    <x v="13"/>
    <x v="0"/>
    <m/>
    <m/>
    <m/>
    <m/>
    <m/>
    <s v=" "/>
    <s v="Tuesday"/>
    <s v=" "/>
    <m/>
    <m/>
    <m/>
    <m/>
    <m/>
    <m/>
    <m/>
    <s v="MANCINI, MICHAEL"/>
    <x v="0"/>
    <x v="0"/>
    <x v="0"/>
    <s v="85-0094734603"/>
    <n v="0"/>
    <n v="0"/>
  </r>
  <r>
    <s v="1521764304"/>
    <s v="AMAROK LLC"/>
    <x v="25"/>
    <x v="3"/>
    <x v="20"/>
    <x v="0"/>
    <s v="LA"/>
    <x v="0"/>
    <s v="M147006"/>
    <s v="00"/>
    <x v="0"/>
    <s v="10/01/2026"/>
    <s v="04/07/2026"/>
    <s v="04/14/2026"/>
    <n v="7"/>
    <x v="1"/>
    <m/>
    <s v="Liability - Bodily Injury"/>
    <n v="10000"/>
    <n v="0"/>
    <n v="10000"/>
    <n v="0"/>
    <n v="0"/>
    <n v="10000"/>
    <n v="0"/>
    <n v="0"/>
    <n v="0"/>
    <n v="0"/>
    <n v="0"/>
    <x v="0"/>
    <x v="17"/>
    <x v="13"/>
    <x v="0"/>
    <m/>
    <m/>
    <m/>
    <m/>
    <m/>
    <s v=" "/>
    <s v="Tuesday"/>
    <s v="Tre Bridges"/>
    <m/>
    <m/>
    <m/>
    <m/>
    <m/>
    <m/>
    <m/>
    <s v="FANCHER, MARCUS"/>
    <x v="0"/>
    <x v="0"/>
    <x v="0"/>
    <s v="85-0094734604"/>
    <n v="10000"/>
    <n v="0"/>
  </r>
  <r>
    <s v="1521764304"/>
    <s v="AMAROK LLC"/>
    <x v="25"/>
    <x v="4"/>
    <x v="22"/>
    <x v="0"/>
    <s v="LA"/>
    <x v="0"/>
    <s v="M147006"/>
    <s v="00"/>
    <x v="0"/>
    <s v="10/01/2026"/>
    <s v="04/07/2026"/>
    <s v="04/14/2026"/>
    <n v="7"/>
    <x v="1"/>
    <m/>
    <s v="Liability - Bodily Injury"/>
    <n v="10000"/>
    <n v="0"/>
    <n v="10000"/>
    <n v="0"/>
    <n v="0"/>
    <n v="10000"/>
    <n v="0"/>
    <n v="0"/>
    <n v="0"/>
    <n v="0"/>
    <n v="0"/>
    <x v="0"/>
    <x v="17"/>
    <x v="13"/>
    <x v="0"/>
    <m/>
    <m/>
    <m/>
    <m/>
    <m/>
    <s v=" "/>
    <s v="Tuesday"/>
    <s v="Tre Bridges"/>
    <m/>
    <m/>
    <m/>
    <m/>
    <m/>
    <m/>
    <m/>
    <s v="FANCHER, MARCUS"/>
    <x v="0"/>
    <x v="0"/>
    <x v="0"/>
    <s v="85-0094734605"/>
    <n v="10000"/>
    <n v="0"/>
  </r>
  <r>
    <s v="1521764304"/>
    <s v="AMAROK LLC"/>
    <x v="26"/>
    <x v="0"/>
    <x v="23"/>
    <x v="0"/>
    <s v="SC"/>
    <x v="0"/>
    <s v="M147006"/>
    <s v="00"/>
    <x v="0"/>
    <s v="10/01/2026"/>
    <s v="01/01/2026"/>
    <s v="04/23/2026"/>
    <n v="112"/>
    <x v="0"/>
    <s v="04/24/2026"/>
    <s v="Collision"/>
    <n v="0"/>
    <n v="1199.400024414062"/>
    <n v="1199.400024414062"/>
    <n v="0"/>
    <n v="0"/>
    <n v="1199.400024414062"/>
    <n v="0"/>
    <n v="0"/>
    <n v="0"/>
    <n v="0"/>
    <n v="0"/>
    <x v="0"/>
    <x v="14"/>
    <x v="5"/>
    <x v="14"/>
    <m/>
    <m/>
    <m/>
    <m/>
    <m/>
    <s v=" "/>
    <s v="Thursday"/>
    <s v="Shara Turley"/>
    <s v="N"/>
    <n v="2026"/>
    <s v="Chrysler"/>
    <s v="Pacifica"/>
    <s v="2C4RC1BG4TR186053"/>
    <m/>
    <m/>
    <s v="MANCINI, MICHAEL"/>
    <x v="0"/>
    <x v="0"/>
    <x v="0"/>
    <s v="85-0095346401"/>
    <n v="1199.400024414062"/>
    <n v="1"/>
  </r>
  <r>
    <s v="1521764304"/>
    <s v="AMAROK LLC"/>
    <x v="27"/>
    <x v="0"/>
    <x v="24"/>
    <x v="6"/>
    <s v="TX"/>
    <x v="2"/>
    <s v="M167160"/>
    <s v="00"/>
    <x v="0"/>
    <s v="10/01/2026"/>
    <s v="04/07/2026"/>
    <s v="04/27/2026"/>
    <n v="20"/>
    <x v="1"/>
    <m/>
    <s v="Premises/Operations-Advertising Personal Injury Bodily Injury"/>
    <n v="20000"/>
    <n v="0"/>
    <n v="20000"/>
    <n v="0"/>
    <n v="0"/>
    <n v="20000"/>
    <n v="0"/>
    <n v="0"/>
    <n v="0"/>
    <n v="0"/>
    <n v="0"/>
    <x v="0"/>
    <x v="12"/>
    <x v="14"/>
    <x v="15"/>
    <m/>
    <m/>
    <m/>
    <m/>
    <m/>
    <s v=" "/>
    <s v="Tuesday"/>
    <s v=" "/>
    <m/>
    <m/>
    <m/>
    <m/>
    <m/>
    <m/>
    <m/>
    <s v="CRUMPTON, MIKAYLA"/>
    <x v="2"/>
    <x v="0"/>
    <x v="0"/>
    <s v="85-0095604701"/>
    <n v="20000"/>
    <n v="1"/>
  </r>
  <r>
    <s v="1521764304"/>
    <s v="AMAROK LLC"/>
    <x v="28"/>
    <x v="0"/>
    <x v="25"/>
    <x v="0"/>
    <s v="NV"/>
    <x v="2"/>
    <s v="M167160"/>
    <s v="00"/>
    <x v="0"/>
    <s v="10/01/2026"/>
    <s v="10/15/2025"/>
    <s v="02/13/2026"/>
    <n v="121"/>
    <x v="1"/>
    <m/>
    <s v="Products/Completed Operations-Advertising and Personal Injury-Bodily Injury"/>
    <n v="10000"/>
    <n v="0"/>
    <n v="10000"/>
    <n v="0"/>
    <n v="0"/>
    <n v="10000"/>
    <n v="0"/>
    <n v="0"/>
    <n v="0"/>
    <n v="0"/>
    <n v="0"/>
    <x v="0"/>
    <x v="12"/>
    <x v="15"/>
    <x v="15"/>
    <m/>
    <m/>
    <m/>
    <m/>
    <m/>
    <s v=" "/>
    <s v="Wednesday"/>
    <s v=" "/>
    <m/>
    <m/>
    <m/>
    <m/>
    <m/>
    <m/>
    <m/>
    <s v="CASSANELLI, MAGGIE"/>
    <x v="2"/>
    <x v="0"/>
    <x v="0"/>
    <s v="85-0095717701"/>
    <n v="10000"/>
    <n v="1"/>
  </r>
  <r>
    <s v="1521764304"/>
    <s v="AMAROK LLC"/>
    <x v="29"/>
    <x v="0"/>
    <x v="0"/>
    <x v="0"/>
    <s v="NC"/>
    <x v="0"/>
    <s v="M147006"/>
    <s v="00"/>
    <x v="0"/>
    <s v="10/01/2026"/>
    <s v="05/04/2026"/>
    <s v="05/04/2026"/>
    <n v="0"/>
    <x v="0"/>
    <s v="05/06/2026"/>
    <s v="Collision"/>
    <n v="0"/>
    <n v="6062.91015625"/>
    <n v="6062.91015625"/>
    <n v="0"/>
    <n v="0"/>
    <n v="6062.91015625"/>
    <n v="0"/>
    <n v="0"/>
    <n v="0"/>
    <n v="0"/>
    <n v="0"/>
    <x v="0"/>
    <x v="11"/>
    <x v="5"/>
    <x v="16"/>
    <m/>
    <m/>
    <m/>
    <m/>
    <m/>
    <s v=" "/>
    <s v="Monday"/>
    <s v="Iain Luna"/>
    <s v="N"/>
    <n v="2025"/>
    <s v="CHEVROLET"/>
    <s v="EXPRESS"/>
    <s v="1GCWGBFP9S1265647"/>
    <m/>
    <s v="SC"/>
    <s v="WALKER, TYSON"/>
    <x v="0"/>
    <x v="0"/>
    <x v="0"/>
    <s v="85-0095799401"/>
    <n v="6062.91015625"/>
    <n v="1"/>
  </r>
  <r>
    <s v="1521764304"/>
    <s v="AMAROK LLC"/>
    <x v="30"/>
    <x v="0"/>
    <x v="26"/>
    <x v="2"/>
    <s v="AL"/>
    <x v="2"/>
    <s v="M167160"/>
    <s v="00"/>
    <x v="0"/>
    <s v="10/01/2026"/>
    <s v="04/02/2026"/>
    <s v="05/13/2026"/>
    <n v="41"/>
    <x v="1"/>
    <m/>
    <s v="Products/Completed Operations-Advertising and Personal Injury-Bodily Injury"/>
    <n v="5000"/>
    <n v="0"/>
    <n v="5000"/>
    <n v="0"/>
    <n v="0"/>
    <n v="5000"/>
    <n v="0"/>
    <n v="0"/>
    <n v="0"/>
    <n v="0"/>
    <n v="0"/>
    <x v="0"/>
    <x v="12"/>
    <x v="16"/>
    <x v="15"/>
    <m/>
    <m/>
    <m/>
    <m/>
    <m/>
    <s v=" "/>
    <s v="Thursday"/>
    <s v=" "/>
    <m/>
    <m/>
    <m/>
    <m/>
    <m/>
    <m/>
    <m/>
    <s v="BIEBER, HANNAH"/>
    <x v="2"/>
    <x v="0"/>
    <x v="0"/>
    <s v="85-0096192901"/>
    <n v="5000"/>
    <n v="1"/>
  </r>
  <r>
    <s v="1521764304"/>
    <s v="AMAROK LLC"/>
    <x v="31"/>
    <x v="0"/>
    <x v="27"/>
    <x v="2"/>
    <s v="GA"/>
    <x v="2"/>
    <s v="M167160"/>
    <s v="00"/>
    <x v="0"/>
    <s v="10/01/2026"/>
    <s v="12/31/2025"/>
    <s v="05/14/2026"/>
    <n v="134"/>
    <x v="1"/>
    <m/>
    <s v="Premises/Operations-Advertising Personal Injury Bodily Injury"/>
    <n v="2500"/>
    <n v="0"/>
    <n v="2500"/>
    <n v="0"/>
    <n v="0"/>
    <n v="2500"/>
    <n v="0"/>
    <n v="0"/>
    <n v="0"/>
    <n v="0"/>
    <n v="0"/>
    <x v="0"/>
    <x v="12"/>
    <x v="8"/>
    <x v="15"/>
    <m/>
    <m/>
    <m/>
    <m/>
    <m/>
    <s v=" "/>
    <s v="Wednesday"/>
    <s v=" "/>
    <m/>
    <m/>
    <m/>
    <m/>
    <m/>
    <m/>
    <m/>
    <s v="TERRY, KRISTEN"/>
    <x v="2"/>
    <x v="0"/>
    <x v="0"/>
    <s v="85-0096247201"/>
    <n v="2500"/>
    <n v="1"/>
  </r>
  <r>
    <s v="1521764304"/>
    <s v="AMAROK LLC"/>
    <x v="31"/>
    <x v="1"/>
    <x v="27"/>
    <x v="2"/>
    <s v="GA"/>
    <x v="2"/>
    <s v="M167160"/>
    <s v="00"/>
    <x v="0"/>
    <s v="10/01/2026"/>
    <s v="12/31/2025"/>
    <s v="05/14/2026"/>
    <n v="134"/>
    <x v="1"/>
    <m/>
    <s v="Premises/Operations-Advertising Personal Injury MedPay"/>
    <n v="2500"/>
    <n v="0"/>
    <n v="2500"/>
    <n v="0"/>
    <n v="0"/>
    <n v="2500"/>
    <n v="0"/>
    <n v="0"/>
    <n v="0"/>
    <n v="0"/>
    <n v="0"/>
    <x v="0"/>
    <x v="12"/>
    <x v="8"/>
    <x v="15"/>
    <m/>
    <m/>
    <m/>
    <m/>
    <m/>
    <s v=" "/>
    <s v="Wednesday"/>
    <s v=" "/>
    <m/>
    <m/>
    <m/>
    <m/>
    <m/>
    <m/>
    <m/>
    <s v="TERRY, KRISTEN"/>
    <x v="2"/>
    <x v="0"/>
    <x v="0"/>
    <s v="85-0096247202"/>
    <n v="2500"/>
    <n v="0"/>
  </r>
  <r>
    <s v="1521764304"/>
    <s v="AMAROK LLC"/>
    <x v="32"/>
    <x v="0"/>
    <x v="0"/>
    <x v="0"/>
    <s v="SC"/>
    <x v="0"/>
    <s v="M147006"/>
    <s v="00"/>
    <x v="0"/>
    <s v="10/01/2026"/>
    <s v="02/19/2026"/>
    <s v="05/21/2026"/>
    <n v="91"/>
    <x v="0"/>
    <s v="05/26/2026"/>
    <s v="Comprehensive"/>
    <n v="0"/>
    <n v="575.6500244140625"/>
    <n v="575.6500244140625"/>
    <n v="0"/>
    <n v="0"/>
    <n v="575.6500244140625"/>
    <n v="0"/>
    <n v="0"/>
    <n v="0"/>
    <n v="0"/>
    <n v="0"/>
    <x v="0"/>
    <x v="0"/>
    <x v="0"/>
    <x v="0"/>
    <m/>
    <m/>
    <m/>
    <m/>
    <m/>
    <s v=" "/>
    <s v="Thursday"/>
    <s v=" "/>
    <s v="N"/>
    <n v="2023"/>
    <s v="Chervolet"/>
    <s v="EXPRESS"/>
    <s v="1GCWGBFP7P1101725"/>
    <m/>
    <m/>
    <s v="BUCHANAN, PEGGY"/>
    <x v="0"/>
    <x v="0"/>
    <x v="0"/>
    <s v="85-0096610101"/>
    <n v="575.6500244140625"/>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8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N63" firstHeaderRow="1" firstDataRow="2" firstDataCol="9" rowPageCount="4" colPageCount="1"/>
  <pivotFields count="55">
    <pivotField compact="0" outline="0" subtotalTop="0" showAll="0" defaultSubtotal="0"/>
    <pivotField compact="0" outline="0" subtotalTop="0" showAll="0" defaultSubtotal="0"/>
    <pivotField axis="axisRow" compact="0" outline="0" subtotalTop="0" showAll="0" sortType="ascending" defaultSubtotal="0">
      <items count="36">
        <item m="1" x="34"/>
        <item m="1" x="33"/>
        <item m="1" x="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xis="axisRow" compact="0" outline="0" subtotalTop="0" showAll="0" defaultSubtotal="0">
      <items count="5">
        <item x="0"/>
        <item x="1"/>
        <item x="2"/>
        <item x="3"/>
        <item x="4"/>
      </items>
    </pivotField>
    <pivotField axis="axisRow" compact="0" outline="0" subtotalTop="0" showAll="0" defaultSubtotal="0">
      <items count="29">
        <item m="1" x="28"/>
        <item x="0"/>
        <item x="12"/>
        <item x="13"/>
        <item x="16"/>
        <item x="17"/>
        <item x="19"/>
        <item x="20"/>
        <item x="21"/>
        <item x="22"/>
        <item x="23"/>
        <item x="18"/>
        <item x="25"/>
        <item x="9"/>
        <item x="14"/>
        <item x="15"/>
        <item x="26"/>
        <item x="27"/>
        <item x="2"/>
        <item x="3"/>
        <item x="4"/>
        <item x="5"/>
        <item x="6"/>
        <item x="1"/>
        <item x="7"/>
        <item x="11"/>
        <item x="8"/>
        <item x="24"/>
        <item x="10"/>
      </items>
    </pivotField>
    <pivotField axis="axisRow" compact="0" outline="0" subtotalTop="0" showAll="0" sortType="ascending" defaultSubtotal="0">
      <items count="8">
        <item x="5"/>
        <item x="2"/>
        <item x="1"/>
        <item x="3"/>
        <item x="4"/>
        <item m="1" x="7"/>
        <item x="6"/>
        <item x="0"/>
      </items>
    </pivotField>
    <pivotField compact="0" outline="0" subtotalTop="0" showAll="0" defaultSubtotal="0"/>
    <pivotField axis="axisPage" compact="0" outline="0" subtotalTop="0" showAll="0" defaultSubtotal="0">
      <items count="4">
        <item m="1" x="3"/>
        <item x="0"/>
        <item x="2"/>
        <item x="1"/>
      </items>
    </pivotField>
    <pivotField compact="0" outline="0" subtotalTop="0" showAll="0" defaultSubtotal="0"/>
    <pivotField compact="0" outline="0" subtotalTop="0" showAll="0" defaultSubtotal="0"/>
    <pivotField axis="axisRow" compact="0" numFmtId="14" outline="0" subtotalTop="0" showAll="0" sortType="ascending" defaultSubtotal="0">
      <items count="3">
        <item x="0"/>
        <item m="1" x="2"/>
        <item m="1" x="1"/>
      </items>
    </pivotField>
    <pivotField compact="0" numFmtId="14" outline="0" subtotalTop="0" showAll="0" defaultSubtotal="0"/>
    <pivotField compact="0" numFmtId="14" outline="0" subtotalTop="0" showAll="0" defaultSubtotal="0"/>
    <pivotField compact="0" numFmtId="14" outline="0" subtotalTop="0" showAll="0" defaultSubtotal="0"/>
    <pivotField compact="0" numFmtId="1" outline="0" subtotalTop="0" showAll="0" defaultSubtotal="0"/>
    <pivotField axis="axisPage" compact="0" outline="0" subtotalTop="0" showAll="0" defaultSubtotal="0">
      <items count="3">
        <item m="1" x="2"/>
        <item x="0"/>
        <item x="1"/>
      </items>
    </pivotField>
    <pivotField compact="0" numFmtId="14" outline="0" subtotalTop="0" showAll="0" defaultSubtotal="0"/>
    <pivotField compact="0" outline="0" subtotalTop="0" showAll="0" defaultSubtotal="0"/>
    <pivotField dataField="1" compact="0" numFmtId="166" outline="0" subtotalTop="0" showAll="0" defaultSubtotal="0"/>
    <pivotField dataField="1" compact="0" numFmtId="166" outline="0" subtotalTop="0" showAll="0" defaultSubtotal="0"/>
    <pivotField compact="0" numFmtId="166" outline="0" subtotalTop="0" showAll="0" defaultSubtotal="0"/>
    <pivotField dataField="1" compact="0" numFmtId="166" outline="0" subtotalTop="0" showAll="0" defaultSubtotal="0"/>
    <pivotField dataField="1" compact="0" numFmtId="166" outline="0" subtotalTop="0" showAll="0" defaultSubtotal="0"/>
    <pivotField dataField="1"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axis="axisPage" compact="0" outline="0" subtotalTop="0" showAll="0" defaultSubtotal="0">
      <items count="3">
        <item m="1" x="2"/>
        <item x="0"/>
        <item x="1"/>
      </items>
    </pivotField>
    <pivotField axis="axisRow" compact="0" outline="0" subtotalTop="0" showAll="0" defaultSubtotal="0">
      <items count="19">
        <item m="1" x="18"/>
        <item x="0"/>
        <item x="8"/>
        <item x="9"/>
        <item x="10"/>
        <item x="11"/>
        <item x="13"/>
        <item x="14"/>
        <item x="16"/>
        <item x="17"/>
        <item x="15"/>
        <item x="12"/>
        <item x="3"/>
        <item x="2"/>
        <item x="1"/>
        <item x="4"/>
        <item x="7"/>
        <item x="5"/>
        <item x="6"/>
      </items>
    </pivotField>
    <pivotField axis="axisRow" compact="0" outline="0" subtotalTop="0" showAll="0" defaultSubtotal="0">
      <items count="18">
        <item m="1" x="17"/>
        <item x="0"/>
        <item x="4"/>
        <item x="5"/>
        <item x="6"/>
        <item x="7"/>
        <item x="9"/>
        <item x="10"/>
        <item x="12"/>
        <item x="13"/>
        <item x="11"/>
        <item x="15"/>
        <item x="1"/>
        <item x="8"/>
        <item x="16"/>
        <item x="2"/>
        <item x="3"/>
        <item x="14"/>
      </items>
    </pivotField>
    <pivotField compact="0" outline="0" subtotalTop="0" showAll="0" defaultSubtotal="0">
      <items count="18">
        <item m="1" x="17"/>
        <item x="0"/>
        <item x="6"/>
        <item x="7"/>
        <item x="8"/>
        <item x="9"/>
        <item x="11"/>
        <item x="12"/>
        <item x="14"/>
        <item x="16"/>
        <item x="13"/>
        <item x="15"/>
        <item x="4"/>
        <item x="10"/>
        <item x="2"/>
        <item x="1"/>
        <item x="3"/>
        <item x="5"/>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ascending" defaultSubtotal="0">
      <items count="4">
        <item x="0"/>
        <item x="2"/>
        <item m="1" x="3"/>
        <item x="1"/>
      </items>
    </pivotField>
    <pivotField axis="axisRow" compact="0" outline="0" subtotalTop="0" showAll="0" sortType="descending">
      <items count="4">
        <item x="0"/>
        <item m="1" x="1"/>
        <item m="1" x="2"/>
        <item t="default"/>
      </items>
    </pivotField>
    <pivotField axis="axisPage" compact="0" outline="0" subtotalTop="0" showAll="0" defaultSubtotal="0">
      <items count="1">
        <item x="0"/>
      </items>
    </pivotField>
    <pivotField compact="0" outline="0" subtotalTop="0" showAll="0" defaultSubtotal="0"/>
    <pivotField compact="0" numFmtId="166" outline="0" subtotalTop="0" showAll="0" defaultSubtotal="0"/>
    <pivotField compact="0" outline="0" subtotalTop="0" showAll="0" defaultSubtotal="0"/>
  </pivotFields>
  <rowFields count="9">
    <field x="50"/>
    <field x="49"/>
    <field x="10"/>
    <field x="5"/>
    <field x="2"/>
    <field x="3"/>
    <field x="4"/>
    <field x="30"/>
    <field x="31"/>
  </rowFields>
  <rowItems count="56">
    <i>
      <x/>
      <x/>
      <x/>
      <x v="7"/>
      <x v="3"/>
      <x/>
      <x v="1"/>
      <x v="1"/>
      <x v="1"/>
    </i>
    <i r="4">
      <x v="4"/>
      <x/>
      <x v="1"/>
      <x v="1"/>
      <x v="1"/>
    </i>
    <i r="4">
      <x v="17"/>
      <x/>
      <x v="2"/>
      <x v="2"/>
      <x v="2"/>
    </i>
    <i r="4">
      <x v="18"/>
      <x/>
      <x v="1"/>
      <x v="3"/>
      <x v="3"/>
    </i>
    <i r="4">
      <x v="19"/>
      <x/>
      <x v="1"/>
      <x v="4"/>
      <x v="4"/>
    </i>
    <i r="4">
      <x v="20"/>
      <x/>
      <x v="1"/>
      <x v="5"/>
      <x v="5"/>
    </i>
    <i r="5">
      <x v="1"/>
      <x v="3"/>
      <x v="5"/>
      <x v="5"/>
    </i>
    <i r="4">
      <x v="21"/>
      <x/>
      <x v="1"/>
      <x v="3"/>
      <x v="3"/>
    </i>
    <i r="4">
      <x v="24"/>
      <x/>
      <x v="1"/>
      <x v="6"/>
      <x v="6"/>
    </i>
    <i r="5">
      <x v="1"/>
      <x v="4"/>
      <x v="6"/>
      <x v="6"/>
    </i>
    <i r="4">
      <x v="25"/>
      <x/>
      <x v="1"/>
      <x v="7"/>
      <x v="7"/>
    </i>
    <i r="5">
      <x v="1"/>
      <x v="5"/>
      <x v="7"/>
      <x v="7"/>
    </i>
    <i r="4">
      <x v="27"/>
      <x/>
      <x v="1"/>
      <x v="8"/>
      <x v="8"/>
    </i>
    <i r="5">
      <x v="1"/>
      <x v="6"/>
      <x v="8"/>
      <x v="8"/>
    </i>
    <i r="5">
      <x v="2"/>
      <x v="6"/>
      <x v="8"/>
      <x v="8"/>
    </i>
    <i r="4">
      <x v="28"/>
      <x/>
      <x v="1"/>
      <x v="9"/>
      <x v="9"/>
    </i>
    <i r="5">
      <x v="1"/>
      <x v="7"/>
      <x v="9"/>
      <x v="9"/>
    </i>
    <i r="5">
      <x v="2"/>
      <x v="8"/>
      <x v="9"/>
      <x v="9"/>
    </i>
    <i r="5">
      <x v="3"/>
      <x v="7"/>
      <x v="9"/>
      <x v="9"/>
    </i>
    <i r="5">
      <x v="4"/>
      <x v="9"/>
      <x v="9"/>
      <x v="9"/>
    </i>
    <i r="4">
      <x v="29"/>
      <x/>
      <x v="10"/>
      <x v="7"/>
      <x v="3"/>
    </i>
    <i r="4">
      <x v="32"/>
      <x/>
      <x v="1"/>
      <x v="5"/>
      <x v="3"/>
    </i>
    <i r="4">
      <x v="35"/>
      <x/>
      <x v="1"/>
      <x v="1"/>
      <x v="1"/>
    </i>
    <i r="1">
      <x v="1"/>
      <x/>
      <x v="1"/>
      <x v="22"/>
      <x/>
      <x v="14"/>
      <x v="11"/>
      <x v="13"/>
    </i>
    <i r="4">
      <x v="23"/>
      <x/>
      <x v="15"/>
      <x v="11"/>
      <x v="13"/>
    </i>
    <i r="4">
      <x v="33"/>
      <x/>
      <x v="16"/>
      <x v="11"/>
      <x v="14"/>
    </i>
    <i r="4">
      <x v="34"/>
      <x/>
      <x v="17"/>
      <x v="11"/>
      <x v="13"/>
    </i>
    <i r="5">
      <x v="1"/>
      <x v="17"/>
      <x v="11"/>
      <x v="13"/>
    </i>
    <i r="3">
      <x v="6"/>
      <x v="30"/>
      <x/>
      <x v="27"/>
      <x v="11"/>
      <x v="17"/>
    </i>
    <i r="3">
      <x v="7"/>
      <x v="26"/>
      <x/>
      <x v="11"/>
      <x v="10"/>
      <x v="10"/>
    </i>
    <i r="4">
      <x v="31"/>
      <x/>
      <x v="12"/>
      <x v="11"/>
      <x v="11"/>
    </i>
    <i r="1">
      <x v="3"/>
      <x/>
      <x/>
      <x v="14"/>
      <x/>
      <x v="13"/>
      <x v="12"/>
      <x v="12"/>
    </i>
    <i r="5">
      <x v="1"/>
      <x v="13"/>
      <x v="12"/>
      <x v="12"/>
    </i>
    <i r="3">
      <x v="1"/>
      <x v="6"/>
      <x/>
      <x v="18"/>
      <x v="13"/>
      <x v="12"/>
    </i>
    <i r="5">
      <x v="1"/>
      <x v="18"/>
      <x v="13"/>
      <x v="12"/>
    </i>
    <i r="4">
      <x v="7"/>
      <x/>
      <x v="19"/>
      <x v="13"/>
      <x v="12"/>
    </i>
    <i r="5">
      <x v="1"/>
      <x v="19"/>
      <x v="13"/>
      <x v="12"/>
    </i>
    <i r="4">
      <x v="8"/>
      <x/>
      <x v="20"/>
      <x v="13"/>
      <x v="12"/>
    </i>
    <i r="5">
      <x v="1"/>
      <x v="20"/>
      <x v="13"/>
      <x v="12"/>
    </i>
    <i r="4">
      <x v="9"/>
      <x/>
      <x v="21"/>
      <x v="13"/>
      <x v="12"/>
    </i>
    <i r="5">
      <x v="1"/>
      <x v="21"/>
      <x v="13"/>
      <x v="12"/>
    </i>
    <i r="4">
      <x v="10"/>
      <x/>
      <x v="22"/>
      <x v="13"/>
      <x v="12"/>
    </i>
    <i r="5">
      <x v="1"/>
      <x v="22"/>
      <x v="13"/>
      <x v="12"/>
    </i>
    <i r="3">
      <x v="2"/>
      <x v="5"/>
      <x/>
      <x v="23"/>
      <x v="14"/>
      <x v="12"/>
    </i>
    <i r="5">
      <x v="1"/>
      <x v="23"/>
      <x v="14"/>
      <x v="12"/>
    </i>
    <i r="4">
      <x v="12"/>
      <x/>
      <x v="23"/>
      <x v="15"/>
      <x v="12"/>
    </i>
    <i r="5">
      <x v="1"/>
      <x v="23"/>
      <x v="15"/>
      <x v="12"/>
    </i>
    <i r="3">
      <x v="3"/>
      <x v="11"/>
      <x/>
      <x v="24"/>
      <x v="12"/>
      <x v="15"/>
    </i>
    <i r="5">
      <x v="1"/>
      <x v="24"/>
      <x v="12"/>
      <x v="15"/>
    </i>
    <i r="4">
      <x v="16"/>
      <x/>
      <x v="25"/>
      <x v="16"/>
      <x v="12"/>
    </i>
    <i r="5">
      <x v="1"/>
      <x v="25"/>
      <x v="16"/>
      <x v="12"/>
    </i>
    <i r="3">
      <x v="4"/>
      <x v="13"/>
      <x/>
      <x v="26"/>
      <x v="17"/>
      <x v="16"/>
    </i>
    <i r="5">
      <x v="1"/>
      <x v="26"/>
      <x v="17"/>
      <x v="16"/>
    </i>
    <i r="3">
      <x v="6"/>
      <x v="15"/>
      <x/>
      <x v="28"/>
      <x v="18"/>
      <x v="15"/>
    </i>
    <i r="5">
      <x v="1"/>
      <x v="28"/>
      <x v="18"/>
      <x v="15"/>
    </i>
    <i t="default">
      <x/>
    </i>
  </rowItems>
  <colFields count="1">
    <field x="-2"/>
  </colFields>
  <colItems count="5">
    <i>
      <x/>
    </i>
    <i i="1">
      <x v="1"/>
    </i>
    <i i="2">
      <x v="2"/>
    </i>
    <i i="3">
      <x v="3"/>
    </i>
    <i i="4">
      <x v="4"/>
    </i>
  </colItems>
  <pageFields count="4">
    <pageField fld="7" hier="-1"/>
    <pageField fld="15" hier="-1"/>
    <pageField fld="29" hier="-1"/>
    <pageField fld="51" hier="-1"/>
  </pageFields>
  <dataFields count="5">
    <dataField name="$ Loss Reserve" fld="18" baseField="32" baseItem="0" numFmtId="166"/>
    <dataField name="$ Total Paid" fld="19" baseField="32" baseItem="0" numFmtId="166"/>
    <dataField name="$ ALAE Reserve" fld="21" baseField="32" baseItem="0" numFmtId="166"/>
    <dataField name="$ ALAE Paid" fld="22" baseField="32" baseItem="0" numFmtId="166"/>
    <dataField name="$ Total Incurred + ALAE" fld="23" baseField="32" baseItem="0" numFmtId="166"/>
  </dataFields>
  <formats count="23">
    <format dxfId="124">
      <pivotArea field="50" type="button" dataOnly="0" labelOnly="1" outline="0" axis="axisRow" fieldPosition="0"/>
    </format>
    <format dxfId="123">
      <pivotArea field="49" type="button" dataOnly="0" labelOnly="1" outline="0" axis="axisRow" fieldPosition="1"/>
    </format>
    <format dxfId="122">
      <pivotArea field="10" type="button" dataOnly="0" labelOnly="1" outline="0" axis="axisRow" fieldPosition="2"/>
    </format>
    <format dxfId="121">
      <pivotArea field="5" type="button" dataOnly="0" labelOnly="1" outline="0" axis="axisRow" fieldPosition="3"/>
    </format>
    <format dxfId="120">
      <pivotArea field="2" type="button" dataOnly="0" labelOnly="1" outline="0" axis="axisRow" fieldPosition="4"/>
    </format>
    <format dxfId="119">
      <pivotArea field="30" type="button" dataOnly="0" labelOnly="1" outline="0" axis="axisRow" fieldPosition="7"/>
    </format>
    <format dxfId="118">
      <pivotArea field="31" type="button" dataOnly="0" labelOnly="1" outline="0" axis="axisRow" fieldPosition="8"/>
    </format>
    <format dxfId="117">
      <pivotArea field="32" type="button" dataOnly="0" labelOnly="1" outline="0"/>
    </format>
    <format dxfId="116">
      <pivotArea dataOnly="0" labelOnly="1" outline="0" fieldPosition="0">
        <references count="1">
          <reference field="4294967294" count="3">
            <x v="0"/>
            <x v="2"/>
            <x v="3"/>
          </reference>
        </references>
      </pivotArea>
    </format>
    <format dxfId="115">
      <pivotArea field="50" type="button" dataOnly="0" labelOnly="1" outline="0" axis="axisRow" fieldPosition="0"/>
    </format>
    <format dxfId="114">
      <pivotArea field="49" type="button" dataOnly="0" labelOnly="1" outline="0" axis="axisRow" fieldPosition="1"/>
    </format>
    <format dxfId="113">
      <pivotArea field="10" type="button" dataOnly="0" labelOnly="1" outline="0" axis="axisRow" fieldPosition="2"/>
    </format>
    <format dxfId="112">
      <pivotArea field="5" type="button" dataOnly="0" labelOnly="1" outline="0" axis="axisRow" fieldPosition="3"/>
    </format>
    <format dxfId="111">
      <pivotArea field="2" type="button" dataOnly="0" labelOnly="1" outline="0" axis="axisRow" fieldPosition="4"/>
    </format>
    <format dxfId="110">
      <pivotArea field="30" type="button" dataOnly="0" labelOnly="1" outline="0" axis="axisRow" fieldPosition="7"/>
    </format>
    <format dxfId="109">
      <pivotArea field="31" type="button" dataOnly="0" labelOnly="1" outline="0" axis="axisRow" fieldPosition="8"/>
    </format>
    <format dxfId="108">
      <pivotArea field="32" type="button" dataOnly="0" labelOnly="1" outline="0"/>
    </format>
    <format dxfId="107">
      <pivotArea dataOnly="0" labelOnly="1" outline="0" fieldPosition="0">
        <references count="1">
          <reference field="4294967294" count="3">
            <x v="0"/>
            <x v="2"/>
            <x v="3"/>
          </reference>
        </references>
      </pivotArea>
    </format>
    <format dxfId="106">
      <pivotArea dataOnly="0" labelOnly="1" outline="0" fieldPosition="0">
        <references count="1">
          <reference field="4294967294" count="1">
            <x v="4"/>
          </reference>
        </references>
      </pivotArea>
    </format>
    <format dxfId="105">
      <pivotArea dataOnly="0" labelOnly="1" outline="0" fieldPosition="0">
        <references count="1">
          <reference field="4294967294" count="1">
            <x v="1"/>
          </reference>
        </references>
      </pivotArea>
    </format>
    <format>
      <pivotArea dataOnly="0" labelOnly="1" outline="0" fieldPosition="0">
        <references count="1">
          <reference field="4294967294" count="5">
            <x v="0"/>
            <x v="1"/>
            <x v="2"/>
            <x v="3"/>
            <x v="4"/>
          </reference>
        </references>
      </pivotArea>
    </format>
    <format dxfId="104">
      <pivotArea field="4" type="button" dataOnly="0" labelOnly="1" outline="0" axis="axisRow" fieldPosition="6"/>
    </format>
    <format dxfId="103">
      <pivotArea field="3" type="button" dataOnly="0" labelOnly="1" outline="0" axis="axisRow" fieldPosition="5"/>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7" cacheId="1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C4" firstHeaderRow="1" firstDataRow="2" firstDataCol="1"/>
  <pivotFields count="55">
    <pivotField showAll="0"/>
    <pivotField showAll="0"/>
    <pivotField showAll="0"/>
    <pivotField showAll="0"/>
    <pivotField showAll="0"/>
    <pivotField showAll="0"/>
    <pivotField showAll="0"/>
    <pivotField showAll="0"/>
    <pivotField showAll="0"/>
    <pivotField showAll="0"/>
    <pivotField numFmtId="14" showAll="0"/>
    <pivotField numFmtId="14" showAll="0"/>
    <pivotField numFmtId="14" showAll="0"/>
    <pivotField numFmtId="14" showAll="0"/>
    <pivotField numFmtId="1" showAll="0"/>
    <pivotField showAll="0"/>
    <pivotField numFmtId="14" showAll="0"/>
    <pivotField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
        <item m="1" x="2"/>
        <item m="1" x="1"/>
        <item x="0"/>
        <item t="default"/>
      </items>
    </pivotField>
    <pivotField showAll="0"/>
    <pivotField showAll="0"/>
    <pivotField dataField="1" numFmtId="166" showAll="0"/>
    <pivotField dataField="1" showAll="0"/>
  </pivotFields>
  <rowFields count="1">
    <field x="50"/>
  </rowFields>
  <rowItems count="2">
    <i>
      <x v="2"/>
    </i>
    <i t="grand">
      <x/>
    </i>
  </rowItems>
  <colFields count="1">
    <field x="-2"/>
  </colFields>
  <colItems count="2">
    <i>
      <x/>
    </i>
    <i i="1">
      <x v="1"/>
    </i>
  </colItems>
  <dataFields count="2">
    <dataField name="Number of Claims" fld="54" baseField="51" baseItem="0"/>
    <dataField name="Sum of Total Incurred" fld="53" baseField="0" baseItem="0" numFmtId="166"/>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50"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aimsData" displayName="ClaimsData" ref="A1:BC56" totalsRowShown="0" headerRowDxfId="102" dataDxfId="101">
  <sortState xmlns:xlrd2="http://schemas.microsoft.com/office/spreadsheetml/2017/richdata2" ref="A2:BC56">
    <sortCondition ref="C2:C56"/>
  </sortState>
  <tableColumns count="55">
    <tableColumn id="1" xr3:uid="{00000000-0010-0000-0000-000001000000}" name="Customer Number"/>
    <tableColumn id="2" xr3:uid="{00000000-0010-0000-0000-000002000000}" name="Policy Insured Name"/>
    <tableColumn id="3" xr3:uid="{00000000-0010-0000-0000-000003000000}" name="Claim Number"/>
    <tableColumn id="4" xr3:uid="{00000000-0010-0000-0000-000004000000}" name="Exposure"/>
    <tableColumn id="5" xr3:uid="{00000000-0010-0000-0000-000005000000}" name="Claimant Name"/>
    <tableColumn id="6" xr3:uid="{00000000-0010-0000-0000-000006000000}" name="Account Location Identifier"/>
    <tableColumn id="7" xr3:uid="{00000000-0010-0000-0000-000007000000}" name="Accident State"/>
    <tableColumn id="8" xr3:uid="{00000000-0010-0000-0000-000008000000}" name="Policy Symbol"/>
    <tableColumn id="9" xr3:uid="{00000000-0010-0000-0000-000009000000}" name="Policy Number"/>
    <tableColumn id="10" xr3:uid="{00000000-0010-0000-0000-00000A000000}" name="Policy MOD"/>
    <tableColumn id="11" xr3:uid="{00000000-0010-0000-0000-00000B000000}" name="Policy Effective Date"/>
    <tableColumn id="12" xr3:uid="{00000000-0010-0000-0000-00000C000000}" name="Policy Expiration Date"/>
    <tableColumn id="13" xr3:uid="{00000000-0010-0000-0000-00000D000000}" name="Loss Date"/>
    <tableColumn id="14" xr3:uid="{00000000-0010-0000-0000-00000E000000}" name="Date of Notice"/>
    <tableColumn id="15" xr3:uid="{00000000-0010-0000-0000-00000F000000}" name="Lag Time"/>
    <tableColumn id="16" xr3:uid="{00000000-0010-0000-0000-000010000000}" name="Claim Status"/>
    <tableColumn id="17" xr3:uid="{00000000-0010-0000-0000-000011000000}" name="Claim Closed Date"/>
    <tableColumn id="18" xr3:uid="{00000000-0010-0000-0000-000012000000}" name="Coverage"/>
    <tableColumn id="19" xr3:uid="{00000000-0010-0000-0000-000013000000}" name="Outstanding Loss Reserve" dataDxfId="76"/>
    <tableColumn id="20" xr3:uid="{00000000-0010-0000-0000-000014000000}" name="Total Paid Loss Net Salvage/Subro/Loss Recovery" dataDxfId="75"/>
    <tableColumn id="21" xr3:uid="{00000000-0010-0000-0000-000015000000}" name="Incurred w/o ALAE" dataDxfId="74"/>
    <tableColumn id="22" xr3:uid="{00000000-0010-0000-0000-000016000000}" name="ALAE Reserve" dataDxfId="73"/>
    <tableColumn id="23" xr3:uid="{00000000-0010-0000-0000-000017000000}" name="ALAE Paid" dataDxfId="72"/>
    <tableColumn id="24" xr3:uid="{00000000-0010-0000-0000-000018000000}" name="Total Incurred + ALAE" dataDxfId="71"/>
    <tableColumn id="25" xr3:uid="{00000000-0010-0000-0000-000019000000}" name="Salvage Recovery" dataDxfId="70"/>
    <tableColumn id="26" xr3:uid="{00000000-0010-0000-0000-00001A000000}" name="Subro Recovery" dataDxfId="69"/>
    <tableColumn id="27" xr3:uid="{00000000-0010-0000-0000-00001B000000}" name="Loss Recovery" dataDxfId="68"/>
    <tableColumn id="28" xr3:uid="{00000000-0010-0000-0000-00001C000000}" name="Deductible Recovery" dataDxfId="67"/>
    <tableColumn id="29" xr3:uid="{00000000-0010-0000-0000-00001D000000}" name="Expense Recovery" dataDxfId="66"/>
    <tableColumn id="30" xr3:uid="{00000000-0010-0000-0000-00001E000000}" name="Litigation Status"/>
    <tableColumn id="31" xr3:uid="{00000000-0010-0000-0000-00001F000000}" name="Cause Of Loss"/>
    <tableColumn id="32" xr3:uid="{00000000-0010-0000-0000-000020000000}" name="Description of Loss"/>
    <tableColumn id="33" xr3:uid="{00000000-0010-0000-0000-000021000000}" name="Contributing Factor"/>
    <tableColumn id="34" xr3:uid="{00000000-0010-0000-0000-000022000000}" name="Product"/>
    <tableColumn id="35" xr3:uid="{00000000-0010-0000-0000-000023000000}" name="Manufacturer"/>
    <tableColumn id="36" xr3:uid="{00000000-0010-0000-0000-000024000000}" name="Policy Region Description"/>
    <tableColumn id="37" xr3:uid="{00000000-0010-0000-0000-000025000000}" name="Policy Holder Retailer Desc"/>
    <tableColumn id="38" xr3:uid="{00000000-0010-0000-0000-000026000000}" name="Policy Holder Claim Number"/>
    <tableColumn id="39" xr3:uid="{00000000-0010-0000-0000-000027000000}" name="Occupation"/>
    <tableColumn id="40" xr3:uid="{00000000-0010-0000-0000-000028000000}" name="Accident Day Of Week"/>
    <tableColumn id="41" xr3:uid="{00000000-0010-0000-0000-000029000000}" name="Insured Driver"/>
    <tableColumn id="42" xr3:uid="{00000000-0010-0000-0000-00002A000000}" name="Total Loss Indicator"/>
    <tableColumn id="43" xr3:uid="{00000000-0010-0000-0000-00002B000000}" name="Vehicle Year"/>
    <tableColumn id="44" xr3:uid="{00000000-0010-0000-0000-00002C000000}" name="Vehicle Manufacturer"/>
    <tableColumn id="45" xr3:uid="{00000000-0010-0000-0000-00002D000000}" name="Vehicle Model"/>
    <tableColumn id="46" xr3:uid="{00000000-0010-0000-0000-00002E000000}" name="Vehicle ID Number"/>
    <tableColumn id="47" xr3:uid="{00000000-0010-0000-0000-00002F000000}" name="Vehicle License Plate"/>
    <tableColumn id="48" xr3:uid="{00000000-0010-0000-0000-000030000000}" name="Vehicle License State"/>
    <tableColumn id="49" xr3:uid="{00000000-0010-0000-0000-000031000000}" name="Adjuster"/>
    <tableColumn id="50" xr3:uid="{00000000-0010-0000-0000-000032000000}" name="Policy"/>
    <tableColumn id="51" xr3:uid="{00000000-0010-0000-0000-000033000000}" name="Policy Year"/>
    <tableColumn id="52" xr3:uid="{00000000-0010-0000-0000-000034000000}" name="Claims above 50K"/>
    <tableColumn id="53" xr3:uid="{00000000-0010-0000-0000-000035000000}" name="Claim Feature Number"/>
    <tableColumn id="54" xr3:uid="{00000000-0010-0000-0000-000036000000}" name="Total Incurred"/>
    <tableColumn id="55" xr3:uid="{00000000-0010-0000-0000-000037000000}" name="Distinct Claim Helper"/>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cordOnlyData" displayName="RecordOnlyData" ref="A1:AO9" totalsRowShown="0" headerRowDxfId="100" dataDxfId="99">
  <tableColumns count="41">
    <tableColumn id="1" xr3:uid="{00000000-0010-0000-0100-000001000000}" name="Customer Number"/>
    <tableColumn id="2" xr3:uid="{00000000-0010-0000-0100-000002000000}" name="Policy Insured Name"/>
    <tableColumn id="3" xr3:uid="{00000000-0010-0000-0100-000003000000}" name="Claim Number"/>
    <tableColumn id="4" xr3:uid="{00000000-0010-0000-0100-000004000000}" name="Exposure"/>
    <tableColumn id="5" xr3:uid="{00000000-0010-0000-0100-000005000000}" name="Claimant Name"/>
    <tableColumn id="6" xr3:uid="{00000000-0010-0000-0100-000006000000}" name="Account Location Identifier"/>
    <tableColumn id="7" xr3:uid="{00000000-0010-0000-0100-000007000000}" name="Accident State"/>
    <tableColumn id="8" xr3:uid="{00000000-0010-0000-0100-000008000000}" name="Policy Symbol"/>
    <tableColumn id="9" xr3:uid="{00000000-0010-0000-0100-000009000000}" name="Policy Number"/>
    <tableColumn id="10" xr3:uid="{00000000-0010-0000-0100-00000A000000}" name="Policy MOD"/>
    <tableColumn id="11" xr3:uid="{00000000-0010-0000-0100-00000B000000}" name="Policy Effective Date"/>
    <tableColumn id="12" xr3:uid="{00000000-0010-0000-0100-00000C000000}" name="Policy Expiration Date"/>
    <tableColumn id="13" xr3:uid="{00000000-0010-0000-0100-00000D000000}" name="Loss Date"/>
    <tableColumn id="14" xr3:uid="{00000000-0010-0000-0100-00000E000000}" name="Date of Notice"/>
    <tableColumn id="15" xr3:uid="{00000000-0010-0000-0100-00000F000000}" name="Lag Time"/>
    <tableColumn id="16" xr3:uid="{00000000-0010-0000-0100-000010000000}" name="Claim Status"/>
    <tableColumn id="17" xr3:uid="{00000000-0010-0000-0100-000011000000}" name="Claim Closed Date"/>
    <tableColumn id="18" xr3:uid="{00000000-0010-0000-0100-000012000000}" name="Coverage"/>
    <tableColumn id="19" xr3:uid="{00000000-0010-0000-0100-000013000000}" name="Cause Of Loss"/>
    <tableColumn id="20" xr3:uid="{00000000-0010-0000-0100-000014000000}" name="Description of Loss"/>
    <tableColumn id="21" xr3:uid="{00000000-0010-0000-0100-000015000000}" name="Contributing Factor"/>
    <tableColumn id="22" xr3:uid="{00000000-0010-0000-0100-000016000000}" name="Product"/>
    <tableColumn id="23" xr3:uid="{00000000-0010-0000-0100-000017000000}" name="Manufacturer"/>
    <tableColumn id="24" xr3:uid="{00000000-0010-0000-0100-000018000000}" name="Policy Region Description"/>
    <tableColumn id="25" xr3:uid="{00000000-0010-0000-0100-000019000000}" name="Policy Holder Retailer Desc"/>
    <tableColumn id="26" xr3:uid="{00000000-0010-0000-0100-00001A000000}" name="Policy Holder Claim Number"/>
    <tableColumn id="27" xr3:uid="{00000000-0010-0000-0100-00001B000000}" name="Occupation"/>
    <tableColumn id="28" xr3:uid="{00000000-0010-0000-0100-00001C000000}" name="Accident Day Of Week"/>
    <tableColumn id="29" xr3:uid="{00000000-0010-0000-0100-00001D000000}" name="Insured Driver"/>
    <tableColumn id="30" xr3:uid="{00000000-0010-0000-0100-00001E000000}" name="Total Loss Indicator"/>
    <tableColumn id="31" xr3:uid="{00000000-0010-0000-0100-00001F000000}" name="Vehicle Year"/>
    <tableColumn id="32" xr3:uid="{00000000-0010-0000-0100-000020000000}" name="Vehicle Manufacturer"/>
    <tableColumn id="33" xr3:uid="{00000000-0010-0000-0100-000021000000}" name="Vehicle Model"/>
    <tableColumn id="34" xr3:uid="{00000000-0010-0000-0100-000022000000}" name="Vehicle ID Number"/>
    <tableColumn id="35" xr3:uid="{00000000-0010-0000-0100-000023000000}" name="Vehicle License Plate"/>
    <tableColumn id="36" xr3:uid="{00000000-0010-0000-0100-000024000000}" name="Vehicle License State"/>
    <tableColumn id="37" xr3:uid="{00000000-0010-0000-0100-000025000000}" name="Adjuster"/>
    <tableColumn id="38" xr3:uid="{00000000-0010-0000-0100-000026000000}" name="Policy"/>
    <tableColumn id="39" xr3:uid="{00000000-0010-0000-0100-000027000000}" name="Policy Year"/>
    <tableColumn id="40" xr3:uid="{00000000-0010-0000-0100-000028000000}" name="Claim Feature Number"/>
    <tableColumn id="41" xr3:uid="{00000000-0010-0000-0100-000029000000}" name="Distinct Claim Helper"/>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
  <sheetViews>
    <sheetView tabSelected="1" workbookViewId="0">
      <selection activeCell="B3" sqref="B3"/>
    </sheetView>
  </sheetViews>
  <sheetFormatPr defaultColWidth="8.85546875" defaultRowHeight="15" x14ac:dyDescent="0.25"/>
  <cols>
    <col min="1" max="1" width="25.140625" style="27" customWidth="1"/>
    <col min="2" max="2" width="98.140625" style="27" customWidth="1"/>
    <col min="3" max="3" width="17.140625" style="27" customWidth="1"/>
    <col min="4" max="4" width="13.85546875" style="27" customWidth="1"/>
    <col min="5" max="5" width="15.28515625" style="27" customWidth="1"/>
    <col min="6" max="6" width="13.5703125" style="27" customWidth="1"/>
    <col min="7" max="7" width="11" style="27" customWidth="1"/>
  </cols>
  <sheetData>
    <row r="1" spans="1:6" ht="129.75" customHeight="1" x14ac:dyDescent="0.25">
      <c r="A1" s="30"/>
      <c r="B1" s="31"/>
    </row>
    <row r="2" spans="1:6" ht="29.25" customHeight="1" x14ac:dyDescent="0.25">
      <c r="A2" s="1" t="s">
        <v>0</v>
      </c>
      <c r="B2" s="2" t="s">
        <v>1</v>
      </c>
    </row>
    <row r="3" spans="1:6" ht="29.25" customHeight="1" x14ac:dyDescent="0.25">
      <c r="A3" s="1" t="s">
        <v>2</v>
      </c>
      <c r="B3" s="2" t="s">
        <v>3</v>
      </c>
    </row>
    <row r="4" spans="1:6" ht="29.25" customHeight="1" x14ac:dyDescent="0.25">
      <c r="A4" s="1" t="s">
        <v>4</v>
      </c>
      <c r="B4" s="19" t="s">
        <v>5</v>
      </c>
    </row>
    <row r="5" spans="1:6" ht="138" customHeight="1" x14ac:dyDescent="0.25">
      <c r="A5" s="28" t="s">
        <v>6</v>
      </c>
      <c r="B5" s="29"/>
      <c r="E5" s="3"/>
    </row>
    <row r="6" spans="1:6" ht="62.25" customHeight="1" x14ac:dyDescent="0.25">
      <c r="A6" s="28" t="s">
        <v>7</v>
      </c>
      <c r="B6" s="29"/>
    </row>
    <row r="8" spans="1:6" x14ac:dyDescent="0.25">
      <c r="F8" s="4"/>
    </row>
    <row r="10" spans="1:6" x14ac:dyDescent="0.25">
      <c r="C10" s="5"/>
    </row>
  </sheetData>
  <mergeCells count="3">
    <mergeCell ref="A6:B6"/>
    <mergeCell ref="A1:B1"/>
    <mergeCell ref="A5:B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3"/>
  <sheetViews>
    <sheetView workbookViewId="0">
      <selection activeCell="A9" sqref="A9"/>
    </sheetView>
  </sheetViews>
  <sheetFormatPr defaultRowHeight="15" x14ac:dyDescent="0.25"/>
  <cols>
    <col min="1" max="1" width="16.5703125" style="27" bestFit="1" customWidth="1"/>
    <col min="2" max="2" width="8.42578125" style="27" bestFit="1" customWidth="1"/>
    <col min="3" max="3" width="21.7109375" style="27" bestFit="1" customWidth="1"/>
    <col min="4" max="4" width="27.28515625" style="27" bestFit="1" customWidth="1"/>
    <col min="5" max="5" width="16" style="27" bestFit="1" customWidth="1"/>
    <col min="6" max="6" width="15.7109375" style="27" bestFit="1" customWidth="1"/>
    <col min="7" max="7" width="20.42578125" style="27" bestFit="1" customWidth="1"/>
    <col min="8" max="8" width="21" style="27" bestFit="1" customWidth="1"/>
    <col min="9" max="9" width="27.85546875" style="27" bestFit="1" customWidth="1"/>
    <col min="10" max="10" width="14.5703125" style="27" bestFit="1" customWidth="1"/>
    <col min="11" max="11" width="11.140625" style="27" bestFit="1" customWidth="1"/>
    <col min="12" max="12" width="14.85546875" style="27" bestFit="1" customWidth="1"/>
    <col min="13" max="13" width="11.140625" style="27" bestFit="1" customWidth="1"/>
    <col min="14" max="14" width="21.5703125" style="27" bestFit="1" customWidth="1"/>
  </cols>
  <sheetData>
    <row r="1" spans="1:14" x14ac:dyDescent="0.25">
      <c r="A1" s="17" t="s">
        <v>8</v>
      </c>
      <c r="B1" s="18" t="s">
        <v>9</v>
      </c>
    </row>
    <row r="2" spans="1:14" x14ac:dyDescent="0.25">
      <c r="A2" s="17" t="s">
        <v>10</v>
      </c>
      <c r="B2" s="18" t="s">
        <v>9</v>
      </c>
    </row>
    <row r="3" spans="1:14" x14ac:dyDescent="0.25">
      <c r="A3" s="17" t="s">
        <v>11</v>
      </c>
      <c r="B3" s="18" t="s">
        <v>9</v>
      </c>
    </row>
    <row r="4" spans="1:14" x14ac:dyDescent="0.25">
      <c r="A4" s="17" t="s">
        <v>12</v>
      </c>
      <c r="B4" s="18" t="s">
        <v>9</v>
      </c>
    </row>
    <row r="6" spans="1:14" x14ac:dyDescent="0.25">
      <c r="A6" s="7"/>
      <c r="B6" s="32"/>
      <c r="C6" s="32"/>
      <c r="D6" s="32"/>
      <c r="E6" s="32"/>
      <c r="F6" s="32"/>
      <c r="G6" s="32"/>
      <c r="H6" s="32"/>
      <c r="I6" s="32"/>
      <c r="J6" s="33" t="s">
        <v>463</v>
      </c>
      <c r="K6" s="32"/>
      <c r="L6" s="32"/>
      <c r="M6" s="32"/>
      <c r="N6" s="34"/>
    </row>
    <row r="7" spans="1:14" x14ac:dyDescent="0.25">
      <c r="A7" s="23" t="s">
        <v>13</v>
      </c>
      <c r="B7" s="23" t="s">
        <v>14</v>
      </c>
      <c r="C7" s="23" t="s">
        <v>15</v>
      </c>
      <c r="D7" s="23" t="s">
        <v>16</v>
      </c>
      <c r="E7" s="23" t="s">
        <v>17</v>
      </c>
      <c r="F7" s="23" t="s">
        <v>18</v>
      </c>
      <c r="G7" s="23" t="s">
        <v>19</v>
      </c>
      <c r="H7" s="23" t="s">
        <v>20</v>
      </c>
      <c r="I7" s="23" t="s">
        <v>21</v>
      </c>
      <c r="J7" s="23" t="s">
        <v>22</v>
      </c>
      <c r="K7" s="24" t="s">
        <v>23</v>
      </c>
      <c r="L7" s="24" t="s">
        <v>24</v>
      </c>
      <c r="M7" s="24" t="s">
        <v>25</v>
      </c>
      <c r="N7" s="25" t="s">
        <v>26</v>
      </c>
    </row>
    <row r="8" spans="1:14" x14ac:dyDescent="0.25">
      <c r="A8" s="7">
        <v>2025</v>
      </c>
      <c r="B8" s="7" t="s">
        <v>98</v>
      </c>
      <c r="C8" s="8" t="s">
        <v>80</v>
      </c>
      <c r="D8" s="7" t="s">
        <v>464</v>
      </c>
      <c r="E8" s="7" t="s">
        <v>75</v>
      </c>
      <c r="F8" s="7" t="s">
        <v>27</v>
      </c>
      <c r="G8" s="7" t="s">
        <v>74</v>
      </c>
      <c r="H8" s="7" t="s">
        <v>87</v>
      </c>
      <c r="I8" s="7" t="s">
        <v>88</v>
      </c>
      <c r="J8" s="9">
        <v>0</v>
      </c>
      <c r="K8" s="10">
        <v>573.969970703125</v>
      </c>
      <c r="L8" s="10">
        <v>0</v>
      </c>
      <c r="M8" s="10">
        <v>0</v>
      </c>
      <c r="N8" s="11">
        <v>573.969970703125</v>
      </c>
    </row>
    <row r="9" spans="1:14" x14ac:dyDescent="0.25">
      <c r="A9" s="35"/>
      <c r="B9" s="35"/>
      <c r="C9" s="35"/>
      <c r="D9" s="35"/>
      <c r="E9" s="7" t="s">
        <v>100</v>
      </c>
      <c r="F9" s="7" t="s">
        <v>27</v>
      </c>
      <c r="G9" s="7" t="s">
        <v>74</v>
      </c>
      <c r="H9" s="7" t="s">
        <v>87</v>
      </c>
      <c r="I9" s="7" t="s">
        <v>88</v>
      </c>
      <c r="J9" s="9">
        <v>0</v>
      </c>
      <c r="K9" s="10">
        <v>579.58001708984375</v>
      </c>
      <c r="L9" s="10">
        <v>0</v>
      </c>
      <c r="M9" s="10">
        <v>0</v>
      </c>
      <c r="N9" s="11">
        <v>579.58001708984375</v>
      </c>
    </row>
    <row r="10" spans="1:14" x14ac:dyDescent="0.25">
      <c r="A10" s="35"/>
      <c r="B10" s="35"/>
      <c r="C10" s="35"/>
      <c r="D10" s="35"/>
      <c r="E10" s="7" t="s">
        <v>107</v>
      </c>
      <c r="F10" s="7" t="s">
        <v>27</v>
      </c>
      <c r="G10" s="7" t="s">
        <v>108</v>
      </c>
      <c r="H10" s="7" t="s">
        <v>114</v>
      </c>
      <c r="I10" s="7" t="s">
        <v>115</v>
      </c>
      <c r="J10" s="9">
        <v>0</v>
      </c>
      <c r="K10" s="10">
        <v>3917.139892578125</v>
      </c>
      <c r="L10" s="10">
        <v>0</v>
      </c>
      <c r="M10" s="10">
        <v>0</v>
      </c>
      <c r="N10" s="11">
        <v>3917.139892578125</v>
      </c>
    </row>
    <row r="11" spans="1:14" x14ac:dyDescent="0.25">
      <c r="A11" s="35"/>
      <c r="B11" s="35"/>
      <c r="C11" s="35"/>
      <c r="D11" s="35"/>
      <c r="E11" s="7" t="s">
        <v>119</v>
      </c>
      <c r="F11" s="7" t="s">
        <v>27</v>
      </c>
      <c r="G11" s="7" t="s">
        <v>74</v>
      </c>
      <c r="H11" s="7" t="s">
        <v>125</v>
      </c>
      <c r="I11" s="7" t="s">
        <v>126</v>
      </c>
      <c r="J11" s="9">
        <v>0</v>
      </c>
      <c r="K11" s="10">
        <v>4181.72998046875</v>
      </c>
      <c r="L11" s="10">
        <v>0</v>
      </c>
      <c r="M11" s="10">
        <v>0</v>
      </c>
      <c r="N11" s="11">
        <v>4181.72998046875</v>
      </c>
    </row>
    <row r="12" spans="1:14" x14ac:dyDescent="0.25">
      <c r="A12" s="35"/>
      <c r="B12" s="35"/>
      <c r="C12" s="35"/>
      <c r="D12" s="35"/>
      <c r="E12" s="7" t="s">
        <v>135</v>
      </c>
      <c r="F12" s="7" t="s">
        <v>27</v>
      </c>
      <c r="G12" s="7" t="s">
        <v>74</v>
      </c>
      <c r="H12" s="7" t="s">
        <v>139</v>
      </c>
      <c r="I12" s="7" t="s">
        <v>140</v>
      </c>
      <c r="J12" s="9">
        <v>0</v>
      </c>
      <c r="K12" s="10">
        <v>10385.9697265625</v>
      </c>
      <c r="L12" s="10">
        <v>0</v>
      </c>
      <c r="M12" s="10">
        <v>0</v>
      </c>
      <c r="N12" s="11">
        <v>10385.9697265625</v>
      </c>
    </row>
    <row r="13" spans="1:14" x14ac:dyDescent="0.25">
      <c r="A13" s="35"/>
      <c r="B13" s="35"/>
      <c r="C13" s="35"/>
      <c r="D13" s="35"/>
      <c r="E13" s="7" t="s">
        <v>150</v>
      </c>
      <c r="F13" s="7" t="s">
        <v>27</v>
      </c>
      <c r="G13" s="7" t="s">
        <v>74</v>
      </c>
      <c r="H13" s="7" t="s">
        <v>153</v>
      </c>
      <c r="I13" s="7" t="s">
        <v>154</v>
      </c>
      <c r="J13" s="9">
        <v>0</v>
      </c>
      <c r="K13" s="10">
        <v>0</v>
      </c>
      <c r="L13" s="10">
        <v>0</v>
      </c>
      <c r="M13" s="10">
        <v>0</v>
      </c>
      <c r="N13" s="11">
        <v>0</v>
      </c>
    </row>
    <row r="14" spans="1:14" x14ac:dyDescent="0.25">
      <c r="A14" s="35"/>
      <c r="B14" s="35"/>
      <c r="C14" s="35"/>
      <c r="D14" s="35"/>
      <c r="E14" s="35"/>
      <c r="F14" s="7" t="s">
        <v>164</v>
      </c>
      <c r="G14" s="7" t="s">
        <v>165</v>
      </c>
      <c r="H14" s="7" t="s">
        <v>153</v>
      </c>
      <c r="I14" s="7" t="s">
        <v>154</v>
      </c>
      <c r="J14" s="9">
        <v>0</v>
      </c>
      <c r="K14" s="10">
        <v>2048.5400390625</v>
      </c>
      <c r="L14" s="10">
        <v>0</v>
      </c>
      <c r="M14" s="10">
        <v>0</v>
      </c>
      <c r="N14" s="11">
        <v>2048.5400390625</v>
      </c>
    </row>
    <row r="15" spans="1:14" x14ac:dyDescent="0.25">
      <c r="A15" s="35"/>
      <c r="B15" s="35"/>
      <c r="C15" s="35"/>
      <c r="D15" s="35"/>
      <c r="E15" s="7" t="s">
        <v>167</v>
      </c>
      <c r="F15" s="7" t="s">
        <v>27</v>
      </c>
      <c r="G15" s="7" t="s">
        <v>74</v>
      </c>
      <c r="H15" s="7" t="s">
        <v>125</v>
      </c>
      <c r="I15" s="7" t="s">
        <v>126</v>
      </c>
      <c r="J15" s="9">
        <v>0</v>
      </c>
      <c r="K15" s="10">
        <v>0</v>
      </c>
      <c r="L15" s="10">
        <v>0</v>
      </c>
      <c r="M15" s="10">
        <v>0</v>
      </c>
      <c r="N15" s="11">
        <v>0</v>
      </c>
    </row>
    <row r="16" spans="1:14" x14ac:dyDescent="0.25">
      <c r="A16" s="35"/>
      <c r="B16" s="35"/>
      <c r="C16" s="35"/>
      <c r="D16" s="35"/>
      <c r="E16" s="7" t="s">
        <v>175</v>
      </c>
      <c r="F16" s="7" t="s">
        <v>27</v>
      </c>
      <c r="G16" s="7" t="s">
        <v>74</v>
      </c>
      <c r="H16" s="7" t="s">
        <v>178</v>
      </c>
      <c r="I16" s="7" t="s">
        <v>179</v>
      </c>
      <c r="J16" s="9">
        <v>0</v>
      </c>
      <c r="K16" s="10">
        <v>401.42001342773438</v>
      </c>
      <c r="L16" s="10">
        <v>0</v>
      </c>
      <c r="M16" s="10">
        <v>0</v>
      </c>
      <c r="N16" s="11">
        <v>401.42001342773438</v>
      </c>
    </row>
    <row r="17" spans="1:14" x14ac:dyDescent="0.25">
      <c r="A17" s="35"/>
      <c r="B17" s="35"/>
      <c r="C17" s="35"/>
      <c r="D17" s="35"/>
      <c r="E17" s="35"/>
      <c r="F17" s="7" t="s">
        <v>164</v>
      </c>
      <c r="G17" s="7" t="s">
        <v>186</v>
      </c>
      <c r="H17" s="7" t="s">
        <v>178</v>
      </c>
      <c r="I17" s="7" t="s">
        <v>179</v>
      </c>
      <c r="J17" s="9">
        <v>0</v>
      </c>
      <c r="K17" s="10">
        <v>0</v>
      </c>
      <c r="L17" s="10">
        <v>0</v>
      </c>
      <c r="M17" s="10">
        <v>0</v>
      </c>
      <c r="N17" s="11">
        <v>0</v>
      </c>
    </row>
    <row r="18" spans="1:14" x14ac:dyDescent="0.25">
      <c r="A18" s="35"/>
      <c r="B18" s="35"/>
      <c r="C18" s="35"/>
      <c r="D18" s="35"/>
      <c r="E18" s="7" t="s">
        <v>188</v>
      </c>
      <c r="F18" s="7" t="s">
        <v>27</v>
      </c>
      <c r="G18" s="7" t="s">
        <v>74</v>
      </c>
      <c r="H18" s="7" t="s">
        <v>191</v>
      </c>
      <c r="I18" s="7" t="s">
        <v>192</v>
      </c>
      <c r="J18" s="9">
        <v>0</v>
      </c>
      <c r="K18" s="10">
        <v>0</v>
      </c>
      <c r="L18" s="10">
        <v>0</v>
      </c>
      <c r="M18" s="10">
        <v>0</v>
      </c>
      <c r="N18" s="11">
        <v>0</v>
      </c>
    </row>
    <row r="19" spans="1:14" x14ac:dyDescent="0.25">
      <c r="A19" s="35"/>
      <c r="B19" s="35"/>
      <c r="C19" s="35"/>
      <c r="D19" s="35"/>
      <c r="E19" s="35"/>
      <c r="F19" s="7" t="s">
        <v>164</v>
      </c>
      <c r="G19" s="7" t="s">
        <v>197</v>
      </c>
      <c r="H19" s="7" t="s">
        <v>191</v>
      </c>
      <c r="I19" s="7" t="s">
        <v>192</v>
      </c>
      <c r="J19" s="9">
        <v>0</v>
      </c>
      <c r="K19" s="10">
        <v>2042.859985351562</v>
      </c>
      <c r="L19" s="10">
        <v>0</v>
      </c>
      <c r="M19" s="10">
        <v>0</v>
      </c>
      <c r="N19" s="11">
        <v>2042.859985351562</v>
      </c>
    </row>
    <row r="20" spans="1:14" x14ac:dyDescent="0.25">
      <c r="A20" s="35"/>
      <c r="B20" s="35"/>
      <c r="C20" s="35"/>
      <c r="D20" s="35"/>
      <c r="E20" s="7" t="s">
        <v>199</v>
      </c>
      <c r="F20" s="7" t="s">
        <v>27</v>
      </c>
      <c r="G20" s="7" t="s">
        <v>74</v>
      </c>
      <c r="H20" s="7" t="s">
        <v>202</v>
      </c>
      <c r="I20" s="7" t="s">
        <v>203</v>
      </c>
      <c r="J20" s="9">
        <v>2700</v>
      </c>
      <c r="K20" s="10">
        <v>0</v>
      </c>
      <c r="L20" s="10">
        <v>0</v>
      </c>
      <c r="M20" s="10">
        <v>8.25</v>
      </c>
      <c r="N20" s="11">
        <v>2708.25</v>
      </c>
    </row>
    <row r="21" spans="1:14" x14ac:dyDescent="0.25">
      <c r="A21" s="35"/>
      <c r="B21" s="35"/>
      <c r="C21" s="35"/>
      <c r="D21" s="35"/>
      <c r="E21" s="35"/>
      <c r="F21" s="7" t="s">
        <v>164</v>
      </c>
      <c r="G21" s="7" t="s">
        <v>210</v>
      </c>
      <c r="H21" s="7" t="s">
        <v>202</v>
      </c>
      <c r="I21" s="7" t="s">
        <v>203</v>
      </c>
      <c r="J21" s="9">
        <v>0</v>
      </c>
      <c r="K21" s="10">
        <v>5283.8701171875</v>
      </c>
      <c r="L21" s="10">
        <v>0</v>
      </c>
      <c r="M21" s="10">
        <v>0</v>
      </c>
      <c r="N21" s="11">
        <v>5283.8701171875</v>
      </c>
    </row>
    <row r="22" spans="1:14" x14ac:dyDescent="0.25">
      <c r="A22" s="35"/>
      <c r="B22" s="35"/>
      <c r="C22" s="35"/>
      <c r="D22" s="35"/>
      <c r="E22" s="35"/>
      <c r="F22" s="7" t="s">
        <v>212</v>
      </c>
      <c r="G22" s="7" t="s">
        <v>210</v>
      </c>
      <c r="H22" s="7" t="s">
        <v>202</v>
      </c>
      <c r="I22" s="7" t="s">
        <v>203</v>
      </c>
      <c r="J22" s="9">
        <v>7500</v>
      </c>
      <c r="K22" s="10">
        <v>0</v>
      </c>
      <c r="L22" s="10">
        <v>0</v>
      </c>
      <c r="M22" s="10">
        <v>0</v>
      </c>
      <c r="N22" s="11">
        <v>7500</v>
      </c>
    </row>
    <row r="23" spans="1:14" x14ac:dyDescent="0.25">
      <c r="A23" s="35"/>
      <c r="B23" s="35"/>
      <c r="C23" s="35"/>
      <c r="D23" s="35"/>
      <c r="E23" s="7" t="s">
        <v>216</v>
      </c>
      <c r="F23" s="7" t="s">
        <v>27</v>
      </c>
      <c r="G23" s="7" t="s">
        <v>74</v>
      </c>
      <c r="H23" s="7" t="s">
        <v>219</v>
      </c>
      <c r="I23" s="7" t="s">
        <v>220</v>
      </c>
      <c r="J23" s="9">
        <v>2700</v>
      </c>
      <c r="K23" s="10">
        <v>0</v>
      </c>
      <c r="L23" s="10">
        <v>0</v>
      </c>
      <c r="M23" s="10">
        <v>0</v>
      </c>
      <c r="N23" s="11">
        <v>2700</v>
      </c>
    </row>
    <row r="24" spans="1:14" x14ac:dyDescent="0.25">
      <c r="A24" s="35"/>
      <c r="B24" s="35"/>
      <c r="C24" s="35"/>
      <c r="D24" s="35"/>
      <c r="E24" s="35"/>
      <c r="F24" s="7" t="s">
        <v>164</v>
      </c>
      <c r="G24" s="7" t="s">
        <v>225</v>
      </c>
      <c r="H24" s="7" t="s">
        <v>219</v>
      </c>
      <c r="I24" s="7" t="s">
        <v>220</v>
      </c>
      <c r="J24" s="9">
        <v>0</v>
      </c>
      <c r="K24" s="10">
        <v>0</v>
      </c>
      <c r="L24" s="10">
        <v>0</v>
      </c>
      <c r="M24" s="10">
        <v>0</v>
      </c>
      <c r="N24" s="11">
        <v>0</v>
      </c>
    </row>
    <row r="25" spans="1:14" x14ac:dyDescent="0.25">
      <c r="A25" s="35"/>
      <c r="B25" s="35"/>
      <c r="C25" s="35"/>
      <c r="D25" s="35"/>
      <c r="E25" s="35"/>
      <c r="F25" s="7" t="s">
        <v>212</v>
      </c>
      <c r="G25" s="7" t="s">
        <v>227</v>
      </c>
      <c r="H25" s="7" t="s">
        <v>219</v>
      </c>
      <c r="I25" s="7" t="s">
        <v>220</v>
      </c>
      <c r="J25" s="9">
        <v>0</v>
      </c>
      <c r="K25" s="10">
        <v>0</v>
      </c>
      <c r="L25" s="10">
        <v>0</v>
      </c>
      <c r="M25" s="10">
        <v>0</v>
      </c>
      <c r="N25" s="11">
        <v>0</v>
      </c>
    </row>
    <row r="26" spans="1:14" x14ac:dyDescent="0.25">
      <c r="A26" s="35"/>
      <c r="B26" s="35"/>
      <c r="C26" s="35"/>
      <c r="D26" s="35"/>
      <c r="E26" s="35"/>
      <c r="F26" s="7" t="s">
        <v>229</v>
      </c>
      <c r="G26" s="7" t="s">
        <v>225</v>
      </c>
      <c r="H26" s="7" t="s">
        <v>219</v>
      </c>
      <c r="I26" s="7" t="s">
        <v>220</v>
      </c>
      <c r="J26" s="9">
        <v>10000</v>
      </c>
      <c r="K26" s="10">
        <v>0</v>
      </c>
      <c r="L26" s="10">
        <v>0</v>
      </c>
      <c r="M26" s="10">
        <v>0</v>
      </c>
      <c r="N26" s="11">
        <v>10000</v>
      </c>
    </row>
    <row r="27" spans="1:14" x14ac:dyDescent="0.25">
      <c r="A27" s="35"/>
      <c r="B27" s="35"/>
      <c r="C27" s="35"/>
      <c r="D27" s="35"/>
      <c r="E27" s="35"/>
      <c r="F27" s="7" t="s">
        <v>231</v>
      </c>
      <c r="G27" s="7" t="s">
        <v>232</v>
      </c>
      <c r="H27" s="7" t="s">
        <v>219</v>
      </c>
      <c r="I27" s="7" t="s">
        <v>220</v>
      </c>
      <c r="J27" s="9">
        <v>10000</v>
      </c>
      <c r="K27" s="10">
        <v>0</v>
      </c>
      <c r="L27" s="10">
        <v>0</v>
      </c>
      <c r="M27" s="10">
        <v>0</v>
      </c>
      <c r="N27" s="11">
        <v>10000</v>
      </c>
    </row>
    <row r="28" spans="1:14" x14ac:dyDescent="0.25">
      <c r="A28" s="35"/>
      <c r="B28" s="35"/>
      <c r="C28" s="35"/>
      <c r="D28" s="35"/>
      <c r="E28" s="7" t="s">
        <v>234</v>
      </c>
      <c r="F28" s="7" t="s">
        <v>27</v>
      </c>
      <c r="G28" s="7" t="s">
        <v>235</v>
      </c>
      <c r="H28" s="7" t="s">
        <v>191</v>
      </c>
      <c r="I28" s="7" t="s">
        <v>126</v>
      </c>
      <c r="J28" s="9">
        <v>0</v>
      </c>
      <c r="K28" s="10">
        <v>1199.400024414062</v>
      </c>
      <c r="L28" s="10">
        <v>0</v>
      </c>
      <c r="M28" s="10">
        <v>0</v>
      </c>
      <c r="N28" s="11">
        <v>1199.400024414062</v>
      </c>
    </row>
    <row r="29" spans="1:14" x14ac:dyDescent="0.25">
      <c r="A29" s="35"/>
      <c r="B29" s="35"/>
      <c r="C29" s="35"/>
      <c r="D29" s="35"/>
      <c r="E29" s="7" t="s">
        <v>245</v>
      </c>
      <c r="F29" s="7" t="s">
        <v>27</v>
      </c>
      <c r="G29" s="7" t="s">
        <v>74</v>
      </c>
      <c r="H29" s="7" t="s">
        <v>153</v>
      </c>
      <c r="I29" s="7" t="s">
        <v>126</v>
      </c>
      <c r="J29" s="9">
        <v>0</v>
      </c>
      <c r="K29" s="10">
        <v>6062.91015625</v>
      </c>
      <c r="L29" s="10">
        <v>0</v>
      </c>
      <c r="M29" s="10">
        <v>0</v>
      </c>
      <c r="N29" s="11">
        <v>6062.91015625</v>
      </c>
    </row>
    <row r="30" spans="1:14" x14ac:dyDescent="0.25">
      <c r="A30" s="35"/>
      <c r="B30" s="35"/>
      <c r="C30" s="35"/>
      <c r="D30" s="35"/>
      <c r="E30" s="7" t="s">
        <v>254</v>
      </c>
      <c r="F30" s="7" t="s">
        <v>27</v>
      </c>
      <c r="G30" s="7" t="s">
        <v>74</v>
      </c>
      <c r="H30" s="7" t="s">
        <v>87</v>
      </c>
      <c r="I30" s="7" t="s">
        <v>88</v>
      </c>
      <c r="J30" s="9">
        <v>0</v>
      </c>
      <c r="K30" s="10">
        <v>575.6500244140625</v>
      </c>
      <c r="L30" s="10">
        <v>0</v>
      </c>
      <c r="M30" s="10">
        <v>0</v>
      </c>
      <c r="N30" s="11">
        <v>575.6500244140625</v>
      </c>
    </row>
    <row r="31" spans="1:14" x14ac:dyDescent="0.25">
      <c r="A31" s="35"/>
      <c r="B31" s="7" t="s">
        <v>275</v>
      </c>
      <c r="C31" s="8" t="s">
        <v>80</v>
      </c>
      <c r="D31" s="7" t="s">
        <v>307</v>
      </c>
      <c r="E31" s="7" t="s">
        <v>305</v>
      </c>
      <c r="F31" s="7" t="s">
        <v>27</v>
      </c>
      <c r="G31" s="7" t="s">
        <v>306</v>
      </c>
      <c r="H31" s="7" t="s">
        <v>282</v>
      </c>
      <c r="I31" s="7" t="s">
        <v>311</v>
      </c>
      <c r="J31" s="9">
        <v>25000</v>
      </c>
      <c r="K31" s="10">
        <v>0</v>
      </c>
      <c r="L31" s="10">
        <v>5000</v>
      </c>
      <c r="M31" s="10">
        <v>0</v>
      </c>
      <c r="N31" s="11">
        <v>30000</v>
      </c>
    </row>
    <row r="32" spans="1:14" x14ac:dyDescent="0.25">
      <c r="A32" s="35"/>
      <c r="B32" s="35"/>
      <c r="C32" s="35"/>
      <c r="D32" s="35"/>
      <c r="E32" s="7" t="s">
        <v>315</v>
      </c>
      <c r="F32" s="7" t="s">
        <v>27</v>
      </c>
      <c r="G32" s="7" t="s">
        <v>316</v>
      </c>
      <c r="H32" s="7" t="s">
        <v>282</v>
      </c>
      <c r="I32" s="7" t="s">
        <v>311</v>
      </c>
      <c r="J32" s="9">
        <v>99</v>
      </c>
      <c r="K32" s="10">
        <v>0</v>
      </c>
      <c r="L32" s="10">
        <v>0</v>
      </c>
      <c r="M32" s="10">
        <v>0</v>
      </c>
      <c r="N32" s="11">
        <v>99</v>
      </c>
    </row>
    <row r="33" spans="1:14" x14ac:dyDescent="0.25">
      <c r="A33" s="35"/>
      <c r="B33" s="35"/>
      <c r="C33" s="35"/>
      <c r="D33" s="35"/>
      <c r="E33" s="7" t="s">
        <v>321</v>
      </c>
      <c r="F33" s="7" t="s">
        <v>27</v>
      </c>
      <c r="G33" s="7" t="s">
        <v>322</v>
      </c>
      <c r="H33" s="7" t="s">
        <v>282</v>
      </c>
      <c r="I33" s="7" t="s">
        <v>325</v>
      </c>
      <c r="J33" s="9">
        <v>5000</v>
      </c>
      <c r="K33" s="10">
        <v>0</v>
      </c>
      <c r="L33" s="10">
        <v>0</v>
      </c>
      <c r="M33" s="10">
        <v>0</v>
      </c>
      <c r="N33" s="11">
        <v>5000</v>
      </c>
    </row>
    <row r="34" spans="1:14" x14ac:dyDescent="0.25">
      <c r="A34" s="35"/>
      <c r="B34" s="35"/>
      <c r="C34" s="35"/>
      <c r="D34" s="35"/>
      <c r="E34" s="7" t="s">
        <v>328</v>
      </c>
      <c r="F34" s="7" t="s">
        <v>27</v>
      </c>
      <c r="G34" s="7" t="s">
        <v>329</v>
      </c>
      <c r="H34" s="7" t="s">
        <v>282</v>
      </c>
      <c r="I34" s="7" t="s">
        <v>311</v>
      </c>
      <c r="J34" s="9">
        <v>2500</v>
      </c>
      <c r="K34" s="10">
        <v>0</v>
      </c>
      <c r="L34" s="10">
        <v>0</v>
      </c>
      <c r="M34" s="10">
        <v>0</v>
      </c>
      <c r="N34" s="11">
        <v>2500</v>
      </c>
    </row>
    <row r="35" spans="1:14" x14ac:dyDescent="0.25">
      <c r="A35" s="35"/>
      <c r="B35" s="35"/>
      <c r="C35" s="35"/>
      <c r="D35" s="35"/>
      <c r="E35" s="35"/>
      <c r="F35" s="7" t="s">
        <v>164</v>
      </c>
      <c r="G35" s="7" t="s">
        <v>329</v>
      </c>
      <c r="H35" s="7" t="s">
        <v>282</v>
      </c>
      <c r="I35" s="7" t="s">
        <v>311</v>
      </c>
      <c r="J35" s="9">
        <v>2500</v>
      </c>
      <c r="K35" s="10">
        <v>0</v>
      </c>
      <c r="L35" s="10">
        <v>0</v>
      </c>
      <c r="M35" s="10">
        <v>0</v>
      </c>
      <c r="N35" s="11">
        <v>2500</v>
      </c>
    </row>
    <row r="36" spans="1:14" x14ac:dyDescent="0.25">
      <c r="A36" s="35"/>
      <c r="B36" s="35"/>
      <c r="C36" s="35"/>
      <c r="D36" s="7" t="s">
        <v>409</v>
      </c>
      <c r="E36" s="7" t="s">
        <v>407</v>
      </c>
      <c r="F36" s="7" t="s">
        <v>27</v>
      </c>
      <c r="G36" s="7" t="s">
        <v>408</v>
      </c>
      <c r="H36" s="7" t="s">
        <v>282</v>
      </c>
      <c r="I36" s="7" t="s">
        <v>412</v>
      </c>
      <c r="J36" s="9">
        <v>20000</v>
      </c>
      <c r="K36" s="10">
        <v>0</v>
      </c>
      <c r="L36" s="10">
        <v>0</v>
      </c>
      <c r="M36" s="10">
        <v>0</v>
      </c>
      <c r="N36" s="11">
        <v>20000</v>
      </c>
    </row>
    <row r="37" spans="1:14" x14ac:dyDescent="0.25">
      <c r="A37" s="35"/>
      <c r="B37" s="35"/>
      <c r="C37" s="35"/>
      <c r="D37" s="7" t="s">
        <v>464</v>
      </c>
      <c r="E37" s="7" t="s">
        <v>262</v>
      </c>
      <c r="F37" s="7" t="s">
        <v>27</v>
      </c>
      <c r="G37" s="7" t="s">
        <v>263</v>
      </c>
      <c r="H37" s="7" t="s">
        <v>271</v>
      </c>
      <c r="I37" s="7" t="s">
        <v>272</v>
      </c>
      <c r="J37" s="9">
        <v>0</v>
      </c>
      <c r="K37" s="10">
        <v>4683.509765625</v>
      </c>
      <c r="L37" s="10">
        <v>0</v>
      </c>
      <c r="M37" s="10">
        <v>0</v>
      </c>
      <c r="N37" s="11">
        <v>4683.509765625</v>
      </c>
    </row>
    <row r="38" spans="1:14" x14ac:dyDescent="0.25">
      <c r="A38" s="35"/>
      <c r="B38" s="35"/>
      <c r="C38" s="35"/>
      <c r="D38" s="35"/>
      <c r="E38" s="7" t="s">
        <v>277</v>
      </c>
      <c r="F38" s="7" t="s">
        <v>27</v>
      </c>
      <c r="G38" s="7" t="s">
        <v>278</v>
      </c>
      <c r="H38" s="7" t="s">
        <v>282</v>
      </c>
      <c r="I38" s="7" t="s">
        <v>283</v>
      </c>
      <c r="J38" s="9">
        <v>10000</v>
      </c>
      <c r="K38" s="10">
        <v>0</v>
      </c>
      <c r="L38" s="10">
        <v>0</v>
      </c>
      <c r="M38" s="10">
        <v>0</v>
      </c>
      <c r="N38" s="11">
        <v>10000</v>
      </c>
    </row>
    <row r="39" spans="1:14" x14ac:dyDescent="0.25">
      <c r="A39" s="35"/>
      <c r="B39" s="7" t="s">
        <v>301</v>
      </c>
      <c r="C39" s="8" t="s">
        <v>80</v>
      </c>
      <c r="D39" s="7" t="s">
        <v>289</v>
      </c>
      <c r="E39" s="7" t="s">
        <v>287</v>
      </c>
      <c r="F39" s="7" t="s">
        <v>27</v>
      </c>
      <c r="G39" s="7" t="s">
        <v>288</v>
      </c>
      <c r="H39" s="7" t="s">
        <v>296</v>
      </c>
      <c r="I39" s="7" t="s">
        <v>297</v>
      </c>
      <c r="J39" s="9">
        <v>0</v>
      </c>
      <c r="K39" s="10">
        <v>0</v>
      </c>
      <c r="L39" s="10">
        <v>0</v>
      </c>
      <c r="M39" s="10">
        <v>0</v>
      </c>
      <c r="N39" s="11">
        <v>0</v>
      </c>
    </row>
    <row r="40" spans="1:14" x14ac:dyDescent="0.25">
      <c r="A40" s="35"/>
      <c r="B40" s="35"/>
      <c r="C40" s="35"/>
      <c r="D40" s="35"/>
      <c r="E40" s="35"/>
      <c r="F40" s="7" t="s">
        <v>164</v>
      </c>
      <c r="G40" s="7" t="s">
        <v>288</v>
      </c>
      <c r="H40" s="7" t="s">
        <v>296</v>
      </c>
      <c r="I40" s="7" t="s">
        <v>297</v>
      </c>
      <c r="J40" s="9">
        <v>0</v>
      </c>
      <c r="K40" s="10">
        <v>0</v>
      </c>
      <c r="L40" s="10">
        <v>0</v>
      </c>
      <c r="M40" s="10">
        <v>0</v>
      </c>
      <c r="N40" s="11">
        <v>0</v>
      </c>
    </row>
    <row r="41" spans="1:14" x14ac:dyDescent="0.25">
      <c r="A41" s="35"/>
      <c r="B41" s="35"/>
      <c r="C41" s="35"/>
      <c r="D41" s="7" t="s">
        <v>307</v>
      </c>
      <c r="E41" s="7" t="s">
        <v>336</v>
      </c>
      <c r="F41" s="7" t="s">
        <v>27</v>
      </c>
      <c r="G41" s="7" t="s">
        <v>337</v>
      </c>
      <c r="H41" s="7" t="s">
        <v>341</v>
      </c>
      <c r="I41" s="7" t="s">
        <v>297</v>
      </c>
      <c r="J41" s="9">
        <v>0</v>
      </c>
      <c r="K41" s="10">
        <v>0</v>
      </c>
      <c r="L41" s="10">
        <v>0</v>
      </c>
      <c r="M41" s="10">
        <v>0</v>
      </c>
      <c r="N41" s="11">
        <v>0</v>
      </c>
    </row>
    <row r="42" spans="1:14" x14ac:dyDescent="0.25">
      <c r="A42" s="35"/>
      <c r="B42" s="35"/>
      <c r="C42" s="35"/>
      <c r="D42" s="35"/>
      <c r="E42" s="35"/>
      <c r="F42" s="7" t="s">
        <v>164</v>
      </c>
      <c r="G42" s="7" t="s">
        <v>337</v>
      </c>
      <c r="H42" s="7" t="s">
        <v>341</v>
      </c>
      <c r="I42" s="7" t="s">
        <v>297</v>
      </c>
      <c r="J42" s="9">
        <v>0</v>
      </c>
      <c r="K42" s="10">
        <v>540.6400146484375</v>
      </c>
      <c r="L42" s="10">
        <v>0</v>
      </c>
      <c r="M42" s="10">
        <v>16.75</v>
      </c>
      <c r="N42" s="11">
        <v>557.3900146484375</v>
      </c>
    </row>
    <row r="43" spans="1:14" x14ac:dyDescent="0.25">
      <c r="A43" s="35"/>
      <c r="B43" s="35"/>
      <c r="C43" s="35"/>
      <c r="D43" s="35"/>
      <c r="E43" s="7" t="s">
        <v>347</v>
      </c>
      <c r="F43" s="7" t="s">
        <v>27</v>
      </c>
      <c r="G43" s="7" t="s">
        <v>348</v>
      </c>
      <c r="H43" s="7" t="s">
        <v>341</v>
      </c>
      <c r="I43" s="7" t="s">
        <v>297</v>
      </c>
      <c r="J43" s="9">
        <v>0</v>
      </c>
      <c r="K43" s="10">
        <v>0</v>
      </c>
      <c r="L43" s="10">
        <v>0</v>
      </c>
      <c r="M43" s="10">
        <v>0</v>
      </c>
      <c r="N43" s="11">
        <v>0</v>
      </c>
    </row>
    <row r="44" spans="1:14" x14ac:dyDescent="0.25">
      <c r="A44" s="35"/>
      <c r="B44" s="35"/>
      <c r="C44" s="35"/>
      <c r="D44" s="35"/>
      <c r="E44" s="35"/>
      <c r="F44" s="7" t="s">
        <v>164</v>
      </c>
      <c r="G44" s="7" t="s">
        <v>348</v>
      </c>
      <c r="H44" s="7" t="s">
        <v>341</v>
      </c>
      <c r="I44" s="7" t="s">
        <v>297</v>
      </c>
      <c r="J44" s="9">
        <v>0</v>
      </c>
      <c r="K44" s="10">
        <v>1163.7900390625</v>
      </c>
      <c r="L44" s="10">
        <v>0</v>
      </c>
      <c r="M44" s="10">
        <v>40.150001525878913</v>
      </c>
      <c r="N44" s="11">
        <v>1203.93994140625</v>
      </c>
    </row>
    <row r="45" spans="1:14" x14ac:dyDescent="0.25">
      <c r="A45" s="35"/>
      <c r="B45" s="35"/>
      <c r="C45" s="35"/>
      <c r="D45" s="35"/>
      <c r="E45" s="7" t="s">
        <v>351</v>
      </c>
      <c r="F45" s="7" t="s">
        <v>27</v>
      </c>
      <c r="G45" s="7" t="s">
        <v>352</v>
      </c>
      <c r="H45" s="7" t="s">
        <v>341</v>
      </c>
      <c r="I45" s="7" t="s">
        <v>297</v>
      </c>
      <c r="J45" s="9">
        <v>0</v>
      </c>
      <c r="K45" s="10">
        <v>0</v>
      </c>
      <c r="L45" s="10">
        <v>0</v>
      </c>
      <c r="M45" s="10">
        <v>0</v>
      </c>
      <c r="N45" s="11">
        <v>0</v>
      </c>
    </row>
    <row r="46" spans="1:14" x14ac:dyDescent="0.25">
      <c r="A46" s="35"/>
      <c r="B46" s="35"/>
      <c r="C46" s="35"/>
      <c r="D46" s="35"/>
      <c r="E46" s="35"/>
      <c r="F46" s="7" t="s">
        <v>164</v>
      </c>
      <c r="G46" s="7" t="s">
        <v>352</v>
      </c>
      <c r="H46" s="7" t="s">
        <v>341</v>
      </c>
      <c r="I46" s="7" t="s">
        <v>297</v>
      </c>
      <c r="J46" s="9">
        <v>0</v>
      </c>
      <c r="K46" s="10">
        <v>893.29998779296875</v>
      </c>
      <c r="L46" s="10">
        <v>0</v>
      </c>
      <c r="M46" s="10">
        <v>23.25</v>
      </c>
      <c r="N46" s="11">
        <v>916.54998779296875</v>
      </c>
    </row>
    <row r="47" spans="1:14" x14ac:dyDescent="0.25">
      <c r="A47" s="35"/>
      <c r="B47" s="35"/>
      <c r="C47" s="35"/>
      <c r="D47" s="35"/>
      <c r="E47" s="7" t="s">
        <v>355</v>
      </c>
      <c r="F47" s="7" t="s">
        <v>27</v>
      </c>
      <c r="G47" s="7" t="s">
        <v>356</v>
      </c>
      <c r="H47" s="7" t="s">
        <v>341</v>
      </c>
      <c r="I47" s="7" t="s">
        <v>297</v>
      </c>
      <c r="J47" s="9">
        <v>0</v>
      </c>
      <c r="K47" s="10">
        <v>0</v>
      </c>
      <c r="L47" s="10">
        <v>0</v>
      </c>
      <c r="M47" s="10">
        <v>0</v>
      </c>
      <c r="N47" s="11">
        <v>0</v>
      </c>
    </row>
    <row r="48" spans="1:14" x14ac:dyDescent="0.25">
      <c r="A48" s="35"/>
      <c r="B48" s="35"/>
      <c r="C48" s="35"/>
      <c r="D48" s="35"/>
      <c r="E48" s="35"/>
      <c r="F48" s="7" t="s">
        <v>164</v>
      </c>
      <c r="G48" s="7" t="s">
        <v>356</v>
      </c>
      <c r="H48" s="7" t="s">
        <v>341</v>
      </c>
      <c r="I48" s="7" t="s">
        <v>297</v>
      </c>
      <c r="J48" s="9">
        <v>0</v>
      </c>
      <c r="K48" s="10">
        <v>1044.68994140625</v>
      </c>
      <c r="L48" s="10">
        <v>0</v>
      </c>
      <c r="M48" s="10">
        <v>33.5</v>
      </c>
      <c r="N48" s="11">
        <v>1078.18994140625</v>
      </c>
    </row>
    <row r="49" spans="1:14" x14ac:dyDescent="0.25">
      <c r="A49" s="35"/>
      <c r="B49" s="35"/>
      <c r="C49" s="35"/>
      <c r="D49" s="35"/>
      <c r="E49" s="7" t="s">
        <v>359</v>
      </c>
      <c r="F49" s="7" t="s">
        <v>27</v>
      </c>
      <c r="G49" s="7" t="s">
        <v>360</v>
      </c>
      <c r="H49" s="7" t="s">
        <v>341</v>
      </c>
      <c r="I49" s="7" t="s">
        <v>297</v>
      </c>
      <c r="J49" s="9">
        <v>0</v>
      </c>
      <c r="K49" s="10">
        <v>0</v>
      </c>
      <c r="L49" s="10">
        <v>0</v>
      </c>
      <c r="M49" s="10">
        <v>0</v>
      </c>
      <c r="N49" s="11">
        <v>0</v>
      </c>
    </row>
    <row r="50" spans="1:14" x14ac:dyDescent="0.25">
      <c r="A50" s="35"/>
      <c r="B50" s="35"/>
      <c r="C50" s="35"/>
      <c r="D50" s="35"/>
      <c r="E50" s="35"/>
      <c r="F50" s="7" t="s">
        <v>164</v>
      </c>
      <c r="G50" s="7" t="s">
        <v>360</v>
      </c>
      <c r="H50" s="7" t="s">
        <v>341</v>
      </c>
      <c r="I50" s="7" t="s">
        <v>297</v>
      </c>
      <c r="J50" s="9">
        <v>0</v>
      </c>
      <c r="K50" s="10">
        <v>0</v>
      </c>
      <c r="L50" s="10">
        <v>0</v>
      </c>
      <c r="M50" s="10">
        <v>16.75</v>
      </c>
      <c r="N50" s="11">
        <v>16.75</v>
      </c>
    </row>
    <row r="51" spans="1:14" x14ac:dyDescent="0.25">
      <c r="A51" s="35"/>
      <c r="B51" s="35"/>
      <c r="C51" s="35"/>
      <c r="D51" s="7" t="s">
        <v>365</v>
      </c>
      <c r="E51" s="7" t="s">
        <v>363</v>
      </c>
      <c r="F51" s="7" t="s">
        <v>27</v>
      </c>
      <c r="G51" s="7" t="s">
        <v>364</v>
      </c>
      <c r="H51" s="7" t="s">
        <v>369</v>
      </c>
      <c r="I51" s="7" t="s">
        <v>297</v>
      </c>
      <c r="J51" s="9">
        <v>0</v>
      </c>
      <c r="K51" s="10">
        <v>3263.93994140625</v>
      </c>
      <c r="L51" s="10">
        <v>0</v>
      </c>
      <c r="M51" s="10">
        <v>450</v>
      </c>
      <c r="N51" s="11">
        <v>3713.93994140625</v>
      </c>
    </row>
    <row r="52" spans="1:14" x14ac:dyDescent="0.25">
      <c r="A52" s="35"/>
      <c r="B52" s="35"/>
      <c r="C52" s="35"/>
      <c r="D52" s="35"/>
      <c r="E52" s="35"/>
      <c r="F52" s="7" t="s">
        <v>164</v>
      </c>
      <c r="G52" s="7" t="s">
        <v>364</v>
      </c>
      <c r="H52" s="7" t="s">
        <v>369</v>
      </c>
      <c r="I52" s="7" t="s">
        <v>297</v>
      </c>
      <c r="J52" s="9">
        <v>0</v>
      </c>
      <c r="K52" s="10">
        <v>3101.610107421875</v>
      </c>
      <c r="L52" s="10">
        <v>0</v>
      </c>
      <c r="M52" s="10">
        <v>584.02001953125</v>
      </c>
      <c r="N52" s="11">
        <v>3685.6298828125</v>
      </c>
    </row>
    <row r="53" spans="1:14" x14ac:dyDescent="0.25">
      <c r="A53" s="35"/>
      <c r="B53" s="35"/>
      <c r="C53" s="35"/>
      <c r="D53" s="35"/>
      <c r="E53" s="7" t="s">
        <v>375</v>
      </c>
      <c r="F53" s="7" t="s">
        <v>27</v>
      </c>
      <c r="G53" s="7" t="s">
        <v>364</v>
      </c>
      <c r="H53" s="7" t="s">
        <v>376</v>
      </c>
      <c r="I53" s="7" t="s">
        <v>297</v>
      </c>
      <c r="J53" s="9">
        <v>6731.39013671875</v>
      </c>
      <c r="K53" s="10">
        <v>8268.6103515625</v>
      </c>
      <c r="L53" s="10">
        <v>6244.06982421875</v>
      </c>
      <c r="M53" s="10">
        <v>1755.930053710938</v>
      </c>
      <c r="N53" s="11">
        <v>23000</v>
      </c>
    </row>
    <row r="54" spans="1:14" x14ac:dyDescent="0.25">
      <c r="A54" s="35"/>
      <c r="B54" s="35"/>
      <c r="C54" s="35"/>
      <c r="D54" s="35"/>
      <c r="E54" s="35"/>
      <c r="F54" s="7" t="s">
        <v>164</v>
      </c>
      <c r="G54" s="7" t="s">
        <v>364</v>
      </c>
      <c r="H54" s="7" t="s">
        <v>376</v>
      </c>
      <c r="I54" s="7" t="s">
        <v>297</v>
      </c>
      <c r="J54" s="9">
        <v>4652.60009765625</v>
      </c>
      <c r="K54" s="10">
        <v>9099.919921875</v>
      </c>
      <c r="L54" s="10">
        <v>0</v>
      </c>
      <c r="M54" s="10">
        <v>1136.329956054688</v>
      </c>
      <c r="N54" s="11">
        <v>14888.849609375</v>
      </c>
    </row>
    <row r="55" spans="1:14" x14ac:dyDescent="0.25">
      <c r="A55" s="35"/>
      <c r="B55" s="35"/>
      <c r="C55" s="35"/>
      <c r="D55" s="7" t="s">
        <v>383</v>
      </c>
      <c r="E55" s="7" t="s">
        <v>381</v>
      </c>
      <c r="F55" s="7" t="s">
        <v>27</v>
      </c>
      <c r="G55" s="7" t="s">
        <v>382</v>
      </c>
      <c r="H55" s="7" t="s">
        <v>296</v>
      </c>
      <c r="I55" s="7" t="s">
        <v>385</v>
      </c>
      <c r="J55" s="9">
        <v>0</v>
      </c>
      <c r="K55" s="10">
        <v>0</v>
      </c>
      <c r="L55" s="10">
        <v>0</v>
      </c>
      <c r="M55" s="10">
        <v>0</v>
      </c>
      <c r="N55" s="11">
        <v>0</v>
      </c>
    </row>
    <row r="56" spans="1:14" x14ac:dyDescent="0.25">
      <c r="A56" s="35"/>
      <c r="B56" s="35"/>
      <c r="C56" s="35"/>
      <c r="D56" s="35"/>
      <c r="E56" s="35"/>
      <c r="F56" s="7" t="s">
        <v>164</v>
      </c>
      <c r="G56" s="7" t="s">
        <v>382</v>
      </c>
      <c r="H56" s="7" t="s">
        <v>296</v>
      </c>
      <c r="I56" s="7" t="s">
        <v>385</v>
      </c>
      <c r="J56" s="9">
        <v>0</v>
      </c>
      <c r="K56" s="10">
        <v>773.03997802734375</v>
      </c>
      <c r="L56" s="10">
        <v>0</v>
      </c>
      <c r="M56" s="10">
        <v>17.889999389648441</v>
      </c>
      <c r="N56" s="11">
        <v>790.92999267578125</v>
      </c>
    </row>
    <row r="57" spans="1:14" x14ac:dyDescent="0.25">
      <c r="A57" s="35"/>
      <c r="B57" s="35"/>
      <c r="C57" s="35"/>
      <c r="D57" s="35"/>
      <c r="E57" s="7" t="s">
        <v>391</v>
      </c>
      <c r="F57" s="7" t="s">
        <v>27</v>
      </c>
      <c r="G57" s="7" t="s">
        <v>392</v>
      </c>
      <c r="H57" s="7" t="s">
        <v>395</v>
      </c>
      <c r="I57" s="7" t="s">
        <v>297</v>
      </c>
      <c r="J57" s="9">
        <v>0</v>
      </c>
      <c r="K57" s="10">
        <v>0</v>
      </c>
      <c r="L57" s="10">
        <v>0</v>
      </c>
      <c r="M57" s="10">
        <v>0</v>
      </c>
      <c r="N57" s="11">
        <v>0</v>
      </c>
    </row>
    <row r="58" spans="1:14" x14ac:dyDescent="0.25">
      <c r="A58" s="35"/>
      <c r="B58" s="35"/>
      <c r="C58" s="35"/>
      <c r="D58" s="35"/>
      <c r="E58" s="35"/>
      <c r="F58" s="7" t="s">
        <v>164</v>
      </c>
      <c r="G58" s="7" t="s">
        <v>392</v>
      </c>
      <c r="H58" s="7" t="s">
        <v>395</v>
      </c>
      <c r="I58" s="7" t="s">
        <v>297</v>
      </c>
      <c r="J58" s="9">
        <v>2500</v>
      </c>
      <c r="K58" s="10">
        <v>0</v>
      </c>
      <c r="L58" s="10">
        <v>0</v>
      </c>
      <c r="M58" s="10">
        <v>0</v>
      </c>
      <c r="N58" s="11">
        <v>2500</v>
      </c>
    </row>
    <row r="59" spans="1:14" x14ac:dyDescent="0.25">
      <c r="A59" s="35"/>
      <c r="B59" s="35"/>
      <c r="C59" s="35"/>
      <c r="D59" s="7" t="s">
        <v>400</v>
      </c>
      <c r="E59" s="7" t="s">
        <v>398</v>
      </c>
      <c r="F59" s="7" t="s">
        <v>27</v>
      </c>
      <c r="G59" s="7" t="s">
        <v>399</v>
      </c>
      <c r="H59" s="7" t="s">
        <v>402</v>
      </c>
      <c r="I59" s="7" t="s">
        <v>403</v>
      </c>
      <c r="J59" s="9">
        <v>0</v>
      </c>
      <c r="K59" s="10">
        <v>0</v>
      </c>
      <c r="L59" s="10">
        <v>0</v>
      </c>
      <c r="M59" s="10">
        <v>0</v>
      </c>
      <c r="N59" s="11">
        <v>0</v>
      </c>
    </row>
    <row r="60" spans="1:14" x14ac:dyDescent="0.25">
      <c r="A60" s="35"/>
      <c r="B60" s="35"/>
      <c r="C60" s="35"/>
      <c r="D60" s="35"/>
      <c r="E60" s="35"/>
      <c r="F60" s="7" t="s">
        <v>164</v>
      </c>
      <c r="G60" s="7" t="s">
        <v>399</v>
      </c>
      <c r="H60" s="7" t="s">
        <v>402</v>
      </c>
      <c r="I60" s="7" t="s">
        <v>403</v>
      </c>
      <c r="J60" s="9">
        <v>2500</v>
      </c>
      <c r="K60" s="10">
        <v>0</v>
      </c>
      <c r="L60" s="10">
        <v>0</v>
      </c>
      <c r="M60" s="10">
        <v>0</v>
      </c>
      <c r="N60" s="11">
        <v>2500</v>
      </c>
    </row>
    <row r="61" spans="1:14" x14ac:dyDescent="0.25">
      <c r="A61" s="35"/>
      <c r="B61" s="35"/>
      <c r="C61" s="35"/>
      <c r="D61" s="7" t="s">
        <v>409</v>
      </c>
      <c r="E61" s="7" t="s">
        <v>415</v>
      </c>
      <c r="F61" s="7" t="s">
        <v>27</v>
      </c>
      <c r="G61" s="7" t="s">
        <v>416</v>
      </c>
      <c r="H61" s="7" t="s">
        <v>418</v>
      </c>
      <c r="I61" s="7" t="s">
        <v>385</v>
      </c>
      <c r="J61" s="9">
        <v>0</v>
      </c>
      <c r="K61" s="10">
        <v>0</v>
      </c>
      <c r="L61" s="10">
        <v>0</v>
      </c>
      <c r="M61" s="10">
        <v>0</v>
      </c>
      <c r="N61" s="11">
        <v>0</v>
      </c>
    </row>
    <row r="62" spans="1:14" x14ac:dyDescent="0.25">
      <c r="A62" s="35"/>
      <c r="B62" s="35"/>
      <c r="C62" s="35"/>
      <c r="D62" s="35"/>
      <c r="E62" s="35"/>
      <c r="F62" s="7" t="s">
        <v>164</v>
      </c>
      <c r="G62" s="7" t="s">
        <v>416</v>
      </c>
      <c r="H62" s="7" t="s">
        <v>418</v>
      </c>
      <c r="I62" s="7" t="s">
        <v>385</v>
      </c>
      <c r="J62" s="9">
        <v>2041.010009765625</v>
      </c>
      <c r="K62" s="10">
        <v>458.989990234375</v>
      </c>
      <c r="L62" s="10">
        <v>0</v>
      </c>
      <c r="M62" s="10">
        <v>0</v>
      </c>
      <c r="N62" s="11">
        <v>2500</v>
      </c>
    </row>
    <row r="63" spans="1:14" x14ac:dyDescent="0.25">
      <c r="A63" s="12" t="s">
        <v>465</v>
      </c>
      <c r="B63" s="13"/>
      <c r="C63" s="13"/>
      <c r="D63" s="13"/>
      <c r="E63" s="13"/>
      <c r="F63" s="13"/>
      <c r="G63" s="13"/>
      <c r="H63" s="13"/>
      <c r="I63" s="13"/>
      <c r="J63" s="14">
        <v>116424.00024414063</v>
      </c>
      <c r="K63" s="15">
        <v>70545.079986572266</v>
      </c>
      <c r="L63" s="15">
        <v>11244.06982421875</v>
      </c>
      <c r="M63" s="15">
        <v>4082.8200302124033</v>
      </c>
      <c r="N63" s="16">
        <v>202295.9690246582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G38" sqref="G38"/>
    </sheetView>
  </sheetViews>
  <sheetFormatPr defaultRowHeight="15" x14ac:dyDescent="0.25"/>
  <cols>
    <col min="1" max="1" width="13.42578125" style="27" bestFit="1" customWidth="1"/>
    <col min="2" max="2" width="17.5703125" style="27" bestFit="1" customWidth="1"/>
    <col min="3" max="3" width="20.42578125" style="27" bestFit="1" customWidth="1"/>
  </cols>
  <sheetData>
    <row r="1" spans="1:3" x14ac:dyDescent="0.25">
      <c r="A1"/>
      <c r="B1" s="20" t="s">
        <v>463</v>
      </c>
      <c r="C1"/>
    </row>
    <row r="2" spans="1:3" x14ac:dyDescent="0.25">
      <c r="A2" s="20" t="s">
        <v>28</v>
      </c>
      <c r="B2" s="27" t="s">
        <v>29</v>
      </c>
      <c r="C2" s="27" t="s">
        <v>30</v>
      </c>
    </row>
    <row r="3" spans="1:3" x14ac:dyDescent="0.25">
      <c r="A3" s="26">
        <v>2025</v>
      </c>
      <c r="B3" s="36">
        <v>33</v>
      </c>
      <c r="C3" s="6">
        <v>186969.07925415039</v>
      </c>
    </row>
    <row r="4" spans="1:3" x14ac:dyDescent="0.25">
      <c r="A4" s="26" t="s">
        <v>31</v>
      </c>
      <c r="B4" s="36">
        <v>33</v>
      </c>
      <c r="C4" s="6">
        <v>186969.07925415039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F56"/>
  <sheetViews>
    <sheetView workbookViewId="0">
      <pane ySplit="1" topLeftCell="A2" activePane="bottomLeft" state="frozen"/>
      <selection pane="bottomLeft" activeCell="A2" sqref="A2"/>
    </sheetView>
  </sheetViews>
  <sheetFormatPr defaultRowHeight="15" x14ac:dyDescent="0.25"/>
  <cols>
    <col min="1" max="1" width="18" style="27" bestFit="1" customWidth="1"/>
    <col min="2" max="2" width="19.7109375" style="27" bestFit="1" customWidth="1"/>
    <col min="3" max="3" width="14.140625" style="27" bestFit="1" customWidth="1"/>
    <col min="4" max="4" width="9.42578125" style="27" bestFit="1" customWidth="1"/>
    <col min="5" max="5" width="29.85546875" style="27" bestFit="1" customWidth="1"/>
    <col min="6" max="6" width="30.28515625" style="27" bestFit="1" customWidth="1"/>
    <col min="7" max="7" width="14.140625" style="27" bestFit="1" customWidth="1"/>
    <col min="8" max="8" width="13.7109375" style="27" bestFit="1" customWidth="1"/>
    <col min="9" max="9" width="14.28515625" style="27" bestFit="1" customWidth="1"/>
    <col min="10" max="10" width="11.28515625" style="27" bestFit="1" customWidth="1"/>
    <col min="11" max="11" width="20" style="27" bestFit="1" customWidth="1"/>
    <col min="12" max="12" width="21" style="27" bestFit="1" customWidth="1"/>
    <col min="13" max="13" width="10.42578125" style="27" bestFit="1" customWidth="1"/>
    <col min="14" max="14" width="14.140625" style="27" bestFit="1" customWidth="1"/>
    <col min="15" max="15" width="8.85546875" style="27" bestFit="1" customWidth="1"/>
    <col min="16" max="16" width="12.42578125" style="27" bestFit="1" customWidth="1"/>
    <col min="17" max="17" width="18.140625" style="27" bestFit="1" customWidth="1"/>
    <col min="18" max="18" width="70.85546875" style="27" bestFit="1" customWidth="1"/>
    <col min="19" max="19" width="24.85546875" style="6" bestFit="1" customWidth="1"/>
    <col min="20" max="20" width="46.28515625" style="6" bestFit="1" customWidth="1"/>
    <col min="21" max="21" width="17.42578125" style="6" bestFit="1" customWidth="1"/>
    <col min="22" max="22" width="13.42578125" style="6" bestFit="1" customWidth="1"/>
    <col min="23" max="23" width="12" style="6" bestFit="1" customWidth="1"/>
    <col min="24" max="24" width="20" style="6" bestFit="1" customWidth="1"/>
    <col min="25" max="25" width="16.85546875" style="6" bestFit="1" customWidth="1"/>
    <col min="26" max="26" width="15.28515625" style="6" bestFit="1" customWidth="1"/>
    <col min="27" max="27" width="14.140625" style="6" bestFit="1" customWidth="1"/>
    <col min="28" max="28" width="20.140625" style="6" bestFit="1" customWidth="1"/>
    <col min="29" max="29" width="17.85546875" style="6" bestFit="1" customWidth="1"/>
    <col min="30" max="30" width="15.7109375" style="27" bestFit="1" customWidth="1"/>
    <col min="31" max="31" width="26.7109375" style="27" bestFit="1" customWidth="1"/>
    <col min="32" max="32" width="27.85546875" style="27" bestFit="1" customWidth="1"/>
    <col min="33" max="33" width="31.140625" style="27" bestFit="1" customWidth="1"/>
    <col min="34" max="34" width="8" style="27" bestFit="1" customWidth="1"/>
    <col min="35" max="35" width="13.140625" style="27" bestFit="1" customWidth="1"/>
    <col min="36" max="36" width="24.5703125" style="27" bestFit="1" customWidth="1"/>
    <col min="37" max="37" width="26.140625" style="27" bestFit="1" customWidth="1"/>
    <col min="38" max="38" width="27" style="27" bestFit="1" customWidth="1"/>
    <col min="39" max="39" width="30.85546875" style="27" bestFit="1" customWidth="1"/>
    <col min="40" max="40" width="21.140625" style="27" bestFit="1" customWidth="1"/>
    <col min="41" max="41" width="14.7109375" style="27" bestFit="1" customWidth="1"/>
    <col min="42" max="42" width="18.7109375" style="27" bestFit="1" customWidth="1"/>
    <col min="43" max="43" width="12.140625" style="27" bestFit="1" customWidth="1"/>
    <col min="44" max="44" width="20.42578125" style="27" bestFit="1" customWidth="1"/>
    <col min="45" max="45" width="13.85546875" style="27" bestFit="1" customWidth="1"/>
    <col min="46" max="46" width="20.140625" style="27" bestFit="1" customWidth="1"/>
    <col min="47" max="47" width="20.42578125" style="27" bestFit="1" customWidth="1"/>
    <col min="48" max="49" width="20.5703125" style="27" bestFit="1" customWidth="1"/>
    <col min="50" max="50" width="16.140625" style="27" bestFit="1" customWidth="1"/>
    <col min="51" max="51" width="10.85546875" style="27" bestFit="1" customWidth="1"/>
    <col min="52" max="52" width="16.85546875" style="27" bestFit="1" customWidth="1"/>
    <col min="53" max="53" width="21.7109375" style="27" bestFit="1" customWidth="1"/>
    <col min="54" max="54" width="13.5703125" style="27" bestFit="1" customWidth="1"/>
    <col min="55" max="55" width="20.7109375" style="27" bestFit="1" customWidth="1"/>
    <col min="56" max="56" width="23" style="27" bestFit="1" customWidth="1"/>
    <col min="57" max="58" width="8.85546875" style="27" customWidth="1"/>
  </cols>
  <sheetData>
    <row r="1" spans="1:55" x14ac:dyDescent="0.25">
      <c r="A1" t="s">
        <v>32</v>
      </c>
      <c r="B1" t="s">
        <v>33</v>
      </c>
      <c r="C1" t="s">
        <v>17</v>
      </c>
      <c r="D1" t="s">
        <v>18</v>
      </c>
      <c r="E1" t="s">
        <v>19</v>
      </c>
      <c r="F1" t="s">
        <v>16</v>
      </c>
      <c r="G1" t="s">
        <v>34</v>
      </c>
      <c r="H1" t="s">
        <v>8</v>
      </c>
      <c r="I1" t="s">
        <v>35</v>
      </c>
      <c r="J1" t="s">
        <v>36</v>
      </c>
      <c r="K1" t="s">
        <v>15</v>
      </c>
      <c r="L1" t="s">
        <v>37</v>
      </c>
      <c r="M1" t="s">
        <v>38</v>
      </c>
      <c r="N1" t="s">
        <v>39</v>
      </c>
      <c r="O1" t="s">
        <v>40</v>
      </c>
      <c r="P1" t="s">
        <v>10</v>
      </c>
      <c r="Q1" t="s">
        <v>41</v>
      </c>
      <c r="R1" t="s">
        <v>42</v>
      </c>
      <c r="S1" s="6" t="s">
        <v>43</v>
      </c>
      <c r="T1" s="6" t="s">
        <v>44</v>
      </c>
      <c r="U1" s="6" t="s">
        <v>45</v>
      </c>
      <c r="V1" s="6" t="s">
        <v>46</v>
      </c>
      <c r="W1" s="6" t="s">
        <v>47</v>
      </c>
      <c r="X1" s="6" t="s">
        <v>48</v>
      </c>
      <c r="Y1" s="6" t="s">
        <v>49</v>
      </c>
      <c r="Z1" s="6" t="s">
        <v>50</v>
      </c>
      <c r="AA1" s="6" t="s">
        <v>51</v>
      </c>
      <c r="AB1" s="6" t="s">
        <v>52</v>
      </c>
      <c r="AC1" s="6" t="s">
        <v>53</v>
      </c>
      <c r="AD1" t="s">
        <v>11</v>
      </c>
      <c r="AE1" t="s">
        <v>20</v>
      </c>
      <c r="AF1" t="s">
        <v>21</v>
      </c>
      <c r="AG1" t="s">
        <v>54</v>
      </c>
      <c r="AH1" t="s">
        <v>55</v>
      </c>
      <c r="AI1" t="s">
        <v>56</v>
      </c>
      <c r="AJ1" t="s">
        <v>57</v>
      </c>
      <c r="AK1" t="s">
        <v>58</v>
      </c>
      <c r="AL1" t="s">
        <v>59</v>
      </c>
      <c r="AM1" t="s">
        <v>60</v>
      </c>
      <c r="AN1" t="s">
        <v>61</v>
      </c>
      <c r="AO1" t="s">
        <v>62</v>
      </c>
      <c r="AP1" t="s">
        <v>63</v>
      </c>
      <c r="AQ1" t="s">
        <v>64</v>
      </c>
      <c r="AR1" t="s">
        <v>65</v>
      </c>
      <c r="AS1" t="s">
        <v>66</v>
      </c>
      <c r="AT1" t="s">
        <v>67</v>
      </c>
      <c r="AU1" t="s">
        <v>68</v>
      </c>
      <c r="AV1" t="s">
        <v>69</v>
      </c>
      <c r="AW1" t="s">
        <v>70</v>
      </c>
      <c r="AX1" t="s">
        <v>14</v>
      </c>
      <c r="AY1" t="s">
        <v>13</v>
      </c>
      <c r="AZ1" t="s">
        <v>12</v>
      </c>
      <c r="BA1" t="s">
        <v>71</v>
      </c>
      <c r="BB1" t="s">
        <v>72</v>
      </c>
      <c r="BC1" t="s">
        <v>73</v>
      </c>
    </row>
    <row r="2" spans="1:55" x14ac:dyDescent="0.25">
      <c r="A2" t="s">
        <v>1</v>
      </c>
      <c r="B2" t="s">
        <v>74</v>
      </c>
      <c r="C2" t="s">
        <v>75</v>
      </c>
      <c r="D2" t="s">
        <v>27</v>
      </c>
      <c r="E2" t="s">
        <v>74</v>
      </c>
      <c r="G2" t="s">
        <v>76</v>
      </c>
      <c r="H2" t="s">
        <v>77</v>
      </c>
      <c r="I2" t="s">
        <v>78</v>
      </c>
      <c r="J2" t="s">
        <v>79</v>
      </c>
      <c r="K2" s="22" t="s">
        <v>80</v>
      </c>
      <c r="L2" s="22" t="s">
        <v>81</v>
      </c>
      <c r="M2" s="22" t="s">
        <v>82</v>
      </c>
      <c r="N2" s="22" t="s">
        <v>83</v>
      </c>
      <c r="O2">
        <v>20</v>
      </c>
      <c r="P2" t="s">
        <v>84</v>
      </c>
      <c r="Q2" s="22" t="s">
        <v>85</v>
      </c>
      <c r="R2" t="s">
        <v>86</v>
      </c>
      <c r="S2" s="6">
        <v>0</v>
      </c>
      <c r="T2" s="6">
        <v>573.969970703125</v>
      </c>
      <c r="U2" s="6">
        <v>573.969970703125</v>
      </c>
      <c r="V2" s="6">
        <v>0</v>
      </c>
      <c r="W2" s="6">
        <v>0</v>
      </c>
      <c r="X2" s="6">
        <v>573.969970703125</v>
      </c>
      <c r="Y2" s="6">
        <v>0</v>
      </c>
      <c r="Z2" s="6">
        <v>0</v>
      </c>
      <c r="AA2" s="6">
        <v>0</v>
      </c>
      <c r="AB2" s="6">
        <v>0</v>
      </c>
      <c r="AC2" s="6">
        <v>0</v>
      </c>
      <c r="AE2" t="s">
        <v>87</v>
      </c>
      <c r="AF2" t="s">
        <v>88</v>
      </c>
      <c r="AG2" t="s">
        <v>89</v>
      </c>
      <c r="AJ2"/>
      <c r="AL2"/>
      <c r="AM2" t="s">
        <v>90</v>
      </c>
      <c r="AN2" t="s">
        <v>91</v>
      </c>
      <c r="AO2" t="s">
        <v>90</v>
      </c>
      <c r="AP2" t="s">
        <v>92</v>
      </c>
      <c r="AQ2">
        <v>2024</v>
      </c>
      <c r="AR2" t="s">
        <v>93</v>
      </c>
      <c r="AS2" t="s">
        <v>94</v>
      </c>
      <c r="AT2" t="s">
        <v>95</v>
      </c>
      <c r="AU2" t="s">
        <v>96</v>
      </c>
      <c r="AV2" t="s">
        <v>76</v>
      </c>
      <c r="AW2" t="s">
        <v>97</v>
      </c>
      <c r="AX2" t="s">
        <v>98</v>
      </c>
      <c r="AY2">
        <v>2025</v>
      </c>
      <c r="AZ2">
        <v>0</v>
      </c>
      <c r="BA2" t="s">
        <v>99</v>
      </c>
      <c r="BB2">
        <v>573.969970703125</v>
      </c>
      <c r="BC2" s="21">
        <v>1</v>
      </c>
    </row>
    <row r="3" spans="1:55" x14ac:dyDescent="0.25">
      <c r="A3" t="s">
        <v>1</v>
      </c>
      <c r="B3" t="s">
        <v>74</v>
      </c>
      <c r="C3" t="s">
        <v>100</v>
      </c>
      <c r="D3" t="s">
        <v>27</v>
      </c>
      <c r="E3" t="s">
        <v>74</v>
      </c>
      <c r="G3" t="s">
        <v>76</v>
      </c>
      <c r="H3" t="s">
        <v>77</v>
      </c>
      <c r="I3" t="s">
        <v>78</v>
      </c>
      <c r="J3" t="s">
        <v>79</v>
      </c>
      <c r="K3" t="s">
        <v>80</v>
      </c>
      <c r="L3" t="s">
        <v>81</v>
      </c>
      <c r="M3" t="s">
        <v>101</v>
      </c>
      <c r="N3" t="s">
        <v>102</v>
      </c>
      <c r="O3">
        <v>26</v>
      </c>
      <c r="P3" t="s">
        <v>84</v>
      </c>
      <c r="Q3" t="s">
        <v>103</v>
      </c>
      <c r="R3" t="s">
        <v>86</v>
      </c>
      <c r="S3" s="6">
        <v>0</v>
      </c>
      <c r="T3" s="6">
        <v>579.58001708984375</v>
      </c>
      <c r="U3" s="6">
        <v>579.58001708984375</v>
      </c>
      <c r="V3" s="6">
        <v>0</v>
      </c>
      <c r="W3" s="6">
        <v>0</v>
      </c>
      <c r="X3" s="6">
        <v>579.58001708984375</v>
      </c>
      <c r="Y3" s="6">
        <v>0</v>
      </c>
      <c r="Z3" s="6">
        <v>0</v>
      </c>
      <c r="AA3" s="6">
        <v>0</v>
      </c>
      <c r="AB3" s="6">
        <v>0</v>
      </c>
      <c r="AC3" s="6">
        <v>0</v>
      </c>
      <c r="AE3" t="s">
        <v>87</v>
      </c>
      <c r="AF3" t="s">
        <v>88</v>
      </c>
      <c r="AG3" t="s">
        <v>89</v>
      </c>
      <c r="AJ3"/>
      <c r="AL3"/>
      <c r="AM3" t="s">
        <v>90</v>
      </c>
      <c r="AN3" t="s">
        <v>91</v>
      </c>
      <c r="AO3" t="s">
        <v>90</v>
      </c>
      <c r="AP3" t="s">
        <v>92</v>
      </c>
      <c r="AQ3">
        <v>2025</v>
      </c>
      <c r="AR3" t="s">
        <v>93</v>
      </c>
      <c r="AS3" t="s">
        <v>94</v>
      </c>
      <c r="AT3" t="s">
        <v>104</v>
      </c>
      <c r="AU3" t="s">
        <v>105</v>
      </c>
      <c r="AV3" t="s">
        <v>76</v>
      </c>
      <c r="AW3" t="s">
        <v>97</v>
      </c>
      <c r="AX3" t="s">
        <v>98</v>
      </c>
      <c r="AY3">
        <v>2025</v>
      </c>
      <c r="AZ3">
        <v>0</v>
      </c>
      <c r="BA3" t="s">
        <v>106</v>
      </c>
      <c r="BB3">
        <v>579.58001708984375</v>
      </c>
      <c r="BC3">
        <v>1</v>
      </c>
    </row>
    <row r="4" spans="1:55" x14ac:dyDescent="0.25">
      <c r="A4" t="s">
        <v>1</v>
      </c>
      <c r="B4" t="s">
        <v>74</v>
      </c>
      <c r="C4" t="s">
        <v>363</v>
      </c>
      <c r="D4" t="s">
        <v>27</v>
      </c>
      <c r="E4" t="s">
        <v>364</v>
      </c>
      <c r="F4" s="27" t="s">
        <v>365</v>
      </c>
      <c r="G4" t="s">
        <v>120</v>
      </c>
      <c r="H4" t="s">
        <v>290</v>
      </c>
      <c r="I4" t="s">
        <v>291</v>
      </c>
      <c r="J4" t="s">
        <v>79</v>
      </c>
      <c r="K4" t="s">
        <v>80</v>
      </c>
      <c r="L4" t="s">
        <v>81</v>
      </c>
      <c r="M4" t="s">
        <v>366</v>
      </c>
      <c r="N4" t="s">
        <v>367</v>
      </c>
      <c r="O4">
        <v>3</v>
      </c>
      <c r="P4" t="s">
        <v>84</v>
      </c>
      <c r="Q4" t="s">
        <v>368</v>
      </c>
      <c r="R4" t="s">
        <v>295</v>
      </c>
      <c r="S4" s="6">
        <v>0</v>
      </c>
      <c r="T4" s="6">
        <v>3263.93994140625</v>
      </c>
      <c r="U4" s="6">
        <v>3263.93994140625</v>
      </c>
      <c r="V4" s="6">
        <v>0</v>
      </c>
      <c r="W4" s="6">
        <v>450</v>
      </c>
      <c r="X4" s="6">
        <v>3713.93994140625</v>
      </c>
      <c r="Y4" s="6">
        <v>0</v>
      </c>
      <c r="Z4" s="6">
        <v>0</v>
      </c>
      <c r="AA4" s="6">
        <v>0</v>
      </c>
      <c r="AB4" s="6">
        <v>0</v>
      </c>
      <c r="AC4" s="6">
        <v>0</v>
      </c>
      <c r="AE4" t="s">
        <v>369</v>
      </c>
      <c r="AF4" t="s">
        <v>297</v>
      </c>
      <c r="AG4" t="s">
        <v>370</v>
      </c>
      <c r="AJ4"/>
      <c r="AL4"/>
      <c r="AM4" t="s">
        <v>371</v>
      </c>
      <c r="AN4" t="s">
        <v>156</v>
      </c>
      <c r="AO4" t="s">
        <v>90</v>
      </c>
      <c r="AQ4"/>
      <c r="AW4" t="s">
        <v>372</v>
      </c>
      <c r="AX4" t="s">
        <v>301</v>
      </c>
      <c r="AY4">
        <v>2025</v>
      </c>
      <c r="AZ4">
        <v>0</v>
      </c>
      <c r="BA4" t="s">
        <v>373</v>
      </c>
      <c r="BB4">
        <v>3263.93994140625</v>
      </c>
      <c r="BC4">
        <v>1</v>
      </c>
    </row>
    <row r="5" spans="1:55" x14ac:dyDescent="0.25">
      <c r="A5" t="s">
        <v>1</v>
      </c>
      <c r="B5" t="s">
        <v>74</v>
      </c>
      <c r="C5" t="s">
        <v>363</v>
      </c>
      <c r="D5" t="s">
        <v>164</v>
      </c>
      <c r="E5" t="s">
        <v>364</v>
      </c>
      <c r="F5" s="27" t="s">
        <v>365</v>
      </c>
      <c r="G5" t="s">
        <v>120</v>
      </c>
      <c r="H5" t="s">
        <v>290</v>
      </c>
      <c r="I5" t="s">
        <v>291</v>
      </c>
      <c r="J5" t="s">
        <v>79</v>
      </c>
      <c r="K5" t="s">
        <v>80</v>
      </c>
      <c r="L5" t="s">
        <v>81</v>
      </c>
      <c r="M5" t="s">
        <v>366</v>
      </c>
      <c r="N5" t="s">
        <v>367</v>
      </c>
      <c r="O5">
        <v>3</v>
      </c>
      <c r="P5" t="s">
        <v>84</v>
      </c>
      <c r="Q5" t="s">
        <v>368</v>
      </c>
      <c r="R5" t="s">
        <v>303</v>
      </c>
      <c r="S5" s="6">
        <v>0</v>
      </c>
      <c r="T5" s="6">
        <v>3101.610107421875</v>
      </c>
      <c r="U5" s="6">
        <v>3101.610107421875</v>
      </c>
      <c r="V5" s="6">
        <v>0</v>
      </c>
      <c r="W5" s="6">
        <v>584.02001953125</v>
      </c>
      <c r="X5" s="6">
        <v>3685.6298828125</v>
      </c>
      <c r="Y5" s="6">
        <v>0</v>
      </c>
      <c r="Z5" s="6">
        <v>0</v>
      </c>
      <c r="AA5" s="6">
        <v>0</v>
      </c>
      <c r="AB5" s="6">
        <v>0</v>
      </c>
      <c r="AC5" s="6">
        <v>-30</v>
      </c>
      <c r="AE5" t="s">
        <v>369</v>
      </c>
      <c r="AF5" t="s">
        <v>297</v>
      </c>
      <c r="AG5" t="s">
        <v>370</v>
      </c>
      <c r="AJ5"/>
      <c r="AL5"/>
      <c r="AM5" t="s">
        <v>371</v>
      </c>
      <c r="AN5" t="s">
        <v>156</v>
      </c>
      <c r="AO5" t="s">
        <v>90</v>
      </c>
      <c r="AP5"/>
      <c r="AQ5"/>
      <c r="AR5"/>
      <c r="AS5"/>
      <c r="AT5"/>
      <c r="AV5"/>
      <c r="AW5" t="s">
        <v>372</v>
      </c>
      <c r="AX5" t="s">
        <v>301</v>
      </c>
      <c r="AY5">
        <v>2025</v>
      </c>
      <c r="AZ5">
        <v>0</v>
      </c>
      <c r="BA5" t="s">
        <v>374</v>
      </c>
      <c r="BB5">
        <v>3101.610107421875</v>
      </c>
      <c r="BC5">
        <v>0</v>
      </c>
    </row>
    <row r="6" spans="1:55" x14ac:dyDescent="0.25">
      <c r="A6" t="s">
        <v>1</v>
      </c>
      <c r="B6" t="s">
        <v>74</v>
      </c>
      <c r="C6" t="s">
        <v>336</v>
      </c>
      <c r="D6" t="s">
        <v>27</v>
      </c>
      <c r="E6" t="s">
        <v>337</v>
      </c>
      <c r="F6" s="27" t="s">
        <v>307</v>
      </c>
      <c r="G6" t="s">
        <v>76</v>
      </c>
      <c r="H6" t="s">
        <v>290</v>
      </c>
      <c r="I6" t="s">
        <v>291</v>
      </c>
      <c r="J6" t="s">
        <v>79</v>
      </c>
      <c r="K6" t="s">
        <v>80</v>
      </c>
      <c r="L6" t="s">
        <v>81</v>
      </c>
      <c r="M6" t="s">
        <v>338</v>
      </c>
      <c r="N6" t="s">
        <v>339</v>
      </c>
      <c r="O6">
        <v>2</v>
      </c>
      <c r="P6" t="s">
        <v>84</v>
      </c>
      <c r="Q6" t="s">
        <v>340</v>
      </c>
      <c r="R6" t="s">
        <v>295</v>
      </c>
      <c r="S6" s="6">
        <v>0</v>
      </c>
      <c r="T6" s="6">
        <v>0</v>
      </c>
      <c r="U6" s="6">
        <v>0</v>
      </c>
      <c r="V6" s="6">
        <v>0</v>
      </c>
      <c r="W6" s="6">
        <v>0</v>
      </c>
      <c r="X6" s="6">
        <v>0</v>
      </c>
      <c r="Y6" s="6">
        <v>0</v>
      </c>
      <c r="Z6" s="6">
        <v>0</v>
      </c>
      <c r="AA6" s="6">
        <v>0</v>
      </c>
      <c r="AB6" s="6">
        <v>0</v>
      </c>
      <c r="AC6" s="6">
        <v>0</v>
      </c>
      <c r="AE6" t="s">
        <v>341</v>
      </c>
      <c r="AF6" t="s">
        <v>297</v>
      </c>
      <c r="AG6" t="s">
        <v>342</v>
      </c>
      <c r="AJ6"/>
      <c r="AL6"/>
      <c r="AM6" t="s">
        <v>343</v>
      </c>
      <c r="AN6" t="s">
        <v>128</v>
      </c>
      <c r="AO6" t="s">
        <v>90</v>
      </c>
      <c r="AP6"/>
      <c r="AQ6"/>
      <c r="AR6"/>
      <c r="AS6"/>
      <c r="AT6"/>
      <c r="AV6"/>
      <c r="AW6" t="s">
        <v>344</v>
      </c>
      <c r="AX6" t="s">
        <v>301</v>
      </c>
      <c r="AY6">
        <v>2025</v>
      </c>
      <c r="AZ6">
        <v>0</v>
      </c>
      <c r="BA6" t="s">
        <v>345</v>
      </c>
      <c r="BB6">
        <v>0</v>
      </c>
      <c r="BC6">
        <v>1</v>
      </c>
    </row>
    <row r="7" spans="1:55" x14ac:dyDescent="0.25">
      <c r="A7" t="s">
        <v>1</v>
      </c>
      <c r="B7" t="s">
        <v>74</v>
      </c>
      <c r="C7" t="s">
        <v>336</v>
      </c>
      <c r="D7" t="s">
        <v>164</v>
      </c>
      <c r="E7" t="s">
        <v>337</v>
      </c>
      <c r="F7" s="27" t="s">
        <v>307</v>
      </c>
      <c r="G7" t="s">
        <v>76</v>
      </c>
      <c r="H7" t="s">
        <v>290</v>
      </c>
      <c r="I7" t="s">
        <v>291</v>
      </c>
      <c r="J7" t="s">
        <v>79</v>
      </c>
      <c r="K7" t="s">
        <v>80</v>
      </c>
      <c r="L7" t="s">
        <v>81</v>
      </c>
      <c r="M7" t="s">
        <v>338</v>
      </c>
      <c r="N7" t="s">
        <v>339</v>
      </c>
      <c r="O7">
        <v>2</v>
      </c>
      <c r="P7" t="s">
        <v>84</v>
      </c>
      <c r="Q7" t="s">
        <v>340</v>
      </c>
      <c r="R7" t="s">
        <v>303</v>
      </c>
      <c r="S7" s="6">
        <v>0</v>
      </c>
      <c r="T7" s="6">
        <v>540.6400146484375</v>
      </c>
      <c r="U7" s="6">
        <v>540.6400146484375</v>
      </c>
      <c r="V7" s="6">
        <v>0</v>
      </c>
      <c r="W7" s="6">
        <v>16.75</v>
      </c>
      <c r="X7" s="6">
        <v>557.3900146484375</v>
      </c>
      <c r="Y7" s="6">
        <v>0</v>
      </c>
      <c r="Z7" s="6">
        <v>0</v>
      </c>
      <c r="AA7" s="6">
        <v>0</v>
      </c>
      <c r="AB7" s="6">
        <v>0</v>
      </c>
      <c r="AC7" s="6">
        <v>0</v>
      </c>
      <c r="AE7" t="s">
        <v>341</v>
      </c>
      <c r="AF7" t="s">
        <v>297</v>
      </c>
      <c r="AG7" t="s">
        <v>342</v>
      </c>
      <c r="AJ7"/>
      <c r="AL7"/>
      <c r="AM7" t="s">
        <v>343</v>
      </c>
      <c r="AN7" t="s">
        <v>128</v>
      </c>
      <c r="AO7" t="s">
        <v>90</v>
      </c>
      <c r="AP7"/>
      <c r="AQ7"/>
      <c r="AR7"/>
      <c r="AS7"/>
      <c r="AT7"/>
      <c r="AU7"/>
      <c r="AV7"/>
      <c r="AW7" t="s">
        <v>344</v>
      </c>
      <c r="AX7" t="s">
        <v>301</v>
      </c>
      <c r="AY7">
        <v>2025</v>
      </c>
      <c r="AZ7">
        <v>0</v>
      </c>
      <c r="BA7" t="s">
        <v>346</v>
      </c>
      <c r="BB7">
        <v>540.6400146484375</v>
      </c>
      <c r="BC7">
        <v>0</v>
      </c>
    </row>
    <row r="8" spans="1:55" x14ac:dyDescent="0.25">
      <c r="A8" t="s">
        <v>1</v>
      </c>
      <c r="B8" t="s">
        <v>74</v>
      </c>
      <c r="C8" t="s">
        <v>347</v>
      </c>
      <c r="D8" t="s">
        <v>27</v>
      </c>
      <c r="E8" t="s">
        <v>348</v>
      </c>
      <c r="F8" s="27" t="s">
        <v>307</v>
      </c>
      <c r="G8" t="s">
        <v>76</v>
      </c>
      <c r="H8" t="s">
        <v>290</v>
      </c>
      <c r="I8" t="s">
        <v>291</v>
      </c>
      <c r="J8" t="s">
        <v>79</v>
      </c>
      <c r="K8" t="s">
        <v>80</v>
      </c>
      <c r="L8" t="s">
        <v>81</v>
      </c>
      <c r="M8" t="s">
        <v>338</v>
      </c>
      <c r="N8" t="s">
        <v>339</v>
      </c>
      <c r="O8">
        <v>2</v>
      </c>
      <c r="P8" t="s">
        <v>84</v>
      </c>
      <c r="Q8" t="s">
        <v>340</v>
      </c>
      <c r="R8" t="s">
        <v>295</v>
      </c>
      <c r="S8" s="6">
        <v>0</v>
      </c>
      <c r="T8" s="6">
        <v>0</v>
      </c>
      <c r="U8" s="6">
        <v>0</v>
      </c>
      <c r="V8" s="6">
        <v>0</v>
      </c>
      <c r="W8" s="6">
        <v>0</v>
      </c>
      <c r="X8" s="6">
        <v>0</v>
      </c>
      <c r="Y8" s="6">
        <v>0</v>
      </c>
      <c r="Z8" s="6">
        <v>0</v>
      </c>
      <c r="AA8" s="6">
        <v>0</v>
      </c>
      <c r="AB8" s="6">
        <v>0</v>
      </c>
      <c r="AC8" s="6">
        <v>0</v>
      </c>
      <c r="AE8" t="s">
        <v>341</v>
      </c>
      <c r="AF8" t="s">
        <v>297</v>
      </c>
      <c r="AG8" t="s">
        <v>342</v>
      </c>
      <c r="AJ8"/>
      <c r="AL8"/>
      <c r="AM8" t="s">
        <v>343</v>
      </c>
      <c r="AN8" t="s">
        <v>128</v>
      </c>
      <c r="AO8" t="s">
        <v>90</v>
      </c>
      <c r="AQ8"/>
      <c r="AW8" t="s">
        <v>344</v>
      </c>
      <c r="AX8" t="s">
        <v>301</v>
      </c>
      <c r="AY8">
        <v>2025</v>
      </c>
      <c r="AZ8">
        <v>0</v>
      </c>
      <c r="BA8" t="s">
        <v>349</v>
      </c>
      <c r="BB8">
        <v>0</v>
      </c>
      <c r="BC8">
        <v>1</v>
      </c>
    </row>
    <row r="9" spans="1:55" x14ac:dyDescent="0.25">
      <c r="A9" t="s">
        <v>1</v>
      </c>
      <c r="B9" t="s">
        <v>74</v>
      </c>
      <c r="C9" t="s">
        <v>347</v>
      </c>
      <c r="D9" t="s">
        <v>164</v>
      </c>
      <c r="E9" t="s">
        <v>348</v>
      </c>
      <c r="F9" s="27" t="s">
        <v>307</v>
      </c>
      <c r="G9" t="s">
        <v>76</v>
      </c>
      <c r="H9" t="s">
        <v>290</v>
      </c>
      <c r="I9" t="s">
        <v>291</v>
      </c>
      <c r="J9" t="s">
        <v>79</v>
      </c>
      <c r="K9" t="s">
        <v>80</v>
      </c>
      <c r="L9" t="s">
        <v>81</v>
      </c>
      <c r="M9" t="s">
        <v>338</v>
      </c>
      <c r="N9" t="s">
        <v>339</v>
      </c>
      <c r="O9">
        <v>2</v>
      </c>
      <c r="P9" t="s">
        <v>84</v>
      </c>
      <c r="Q9" s="27" t="s">
        <v>340</v>
      </c>
      <c r="R9" t="s">
        <v>303</v>
      </c>
      <c r="S9" s="6">
        <v>0</v>
      </c>
      <c r="T9" s="6">
        <v>1163.7900390625</v>
      </c>
      <c r="U9" s="6">
        <v>1163.7900390625</v>
      </c>
      <c r="V9" s="6">
        <v>0</v>
      </c>
      <c r="W9" s="6">
        <v>40.150001525878913</v>
      </c>
      <c r="X9" s="6">
        <v>1203.93994140625</v>
      </c>
      <c r="Y9" s="6">
        <v>0</v>
      </c>
      <c r="Z9" s="6">
        <v>0</v>
      </c>
      <c r="AA9" s="6">
        <v>0</v>
      </c>
      <c r="AB9" s="6">
        <v>0</v>
      </c>
      <c r="AC9" s="6">
        <v>0</v>
      </c>
      <c r="AE9" t="s">
        <v>341</v>
      </c>
      <c r="AF9" t="s">
        <v>297</v>
      </c>
      <c r="AG9" t="s">
        <v>342</v>
      </c>
      <c r="AJ9"/>
      <c r="AL9"/>
      <c r="AM9" t="s">
        <v>343</v>
      </c>
      <c r="AN9" t="s">
        <v>128</v>
      </c>
      <c r="AO9" t="s">
        <v>90</v>
      </c>
      <c r="AP9"/>
      <c r="AQ9"/>
      <c r="AR9"/>
      <c r="AS9"/>
      <c r="AV9"/>
      <c r="AW9" t="s">
        <v>344</v>
      </c>
      <c r="AX9" t="s">
        <v>301</v>
      </c>
      <c r="AY9">
        <v>2025</v>
      </c>
      <c r="AZ9">
        <v>0</v>
      </c>
      <c r="BA9" t="s">
        <v>350</v>
      </c>
      <c r="BB9">
        <v>1163.7900390625</v>
      </c>
      <c r="BC9">
        <v>0</v>
      </c>
    </row>
    <row r="10" spans="1:55" x14ac:dyDescent="0.25">
      <c r="A10" t="s">
        <v>1</v>
      </c>
      <c r="B10" t="s">
        <v>74</v>
      </c>
      <c r="C10" t="s">
        <v>351</v>
      </c>
      <c r="D10" t="s">
        <v>27</v>
      </c>
      <c r="E10" t="s">
        <v>352</v>
      </c>
      <c r="F10" s="27" t="s">
        <v>307</v>
      </c>
      <c r="G10" t="s">
        <v>76</v>
      </c>
      <c r="H10" t="s">
        <v>290</v>
      </c>
      <c r="I10" t="s">
        <v>291</v>
      </c>
      <c r="J10" t="s">
        <v>79</v>
      </c>
      <c r="K10" t="s">
        <v>80</v>
      </c>
      <c r="L10" t="s">
        <v>81</v>
      </c>
      <c r="M10" t="s">
        <v>338</v>
      </c>
      <c r="N10" t="s">
        <v>339</v>
      </c>
      <c r="O10">
        <v>2</v>
      </c>
      <c r="P10" t="s">
        <v>84</v>
      </c>
      <c r="Q10" s="27" t="s">
        <v>340</v>
      </c>
      <c r="R10" t="s">
        <v>295</v>
      </c>
      <c r="S10" s="6">
        <v>0</v>
      </c>
      <c r="T10" s="6">
        <v>0</v>
      </c>
      <c r="U10" s="6">
        <v>0</v>
      </c>
      <c r="V10" s="6">
        <v>0</v>
      </c>
      <c r="W10" s="6">
        <v>0</v>
      </c>
      <c r="X10" s="6">
        <v>0</v>
      </c>
      <c r="Y10" s="6">
        <v>0</v>
      </c>
      <c r="Z10" s="6">
        <v>0</v>
      </c>
      <c r="AA10" s="6">
        <v>0</v>
      </c>
      <c r="AB10" s="6">
        <v>0</v>
      </c>
      <c r="AC10" s="6">
        <v>0</v>
      </c>
      <c r="AE10" t="s">
        <v>341</v>
      </c>
      <c r="AF10" t="s">
        <v>297</v>
      </c>
      <c r="AG10" t="s">
        <v>342</v>
      </c>
      <c r="AJ10"/>
      <c r="AL10"/>
      <c r="AM10" t="s">
        <v>343</v>
      </c>
      <c r="AN10" t="s">
        <v>128</v>
      </c>
      <c r="AO10" t="s">
        <v>90</v>
      </c>
      <c r="AP10"/>
      <c r="AQ10"/>
      <c r="AR10"/>
      <c r="AS10"/>
      <c r="AT10"/>
      <c r="AU10"/>
      <c r="AV10"/>
      <c r="AW10" t="s">
        <v>344</v>
      </c>
      <c r="AX10" t="s">
        <v>301</v>
      </c>
      <c r="AY10">
        <v>2025</v>
      </c>
      <c r="AZ10">
        <v>0</v>
      </c>
      <c r="BA10" t="s">
        <v>353</v>
      </c>
      <c r="BB10">
        <v>0</v>
      </c>
      <c r="BC10">
        <v>1</v>
      </c>
    </row>
    <row r="11" spans="1:55" x14ac:dyDescent="0.25">
      <c r="A11" t="s">
        <v>1</v>
      </c>
      <c r="B11" t="s">
        <v>74</v>
      </c>
      <c r="C11" t="s">
        <v>351</v>
      </c>
      <c r="D11" t="s">
        <v>164</v>
      </c>
      <c r="E11" t="s">
        <v>352</v>
      </c>
      <c r="F11" s="27" t="s">
        <v>307</v>
      </c>
      <c r="G11" t="s">
        <v>76</v>
      </c>
      <c r="H11" t="s">
        <v>290</v>
      </c>
      <c r="I11" t="s">
        <v>291</v>
      </c>
      <c r="J11" t="s">
        <v>79</v>
      </c>
      <c r="K11" t="s">
        <v>80</v>
      </c>
      <c r="L11" t="s">
        <v>81</v>
      </c>
      <c r="M11" t="s">
        <v>338</v>
      </c>
      <c r="N11" t="s">
        <v>339</v>
      </c>
      <c r="O11">
        <v>2</v>
      </c>
      <c r="P11" t="s">
        <v>84</v>
      </c>
      <c r="Q11" s="27" t="s">
        <v>340</v>
      </c>
      <c r="R11" t="s">
        <v>303</v>
      </c>
      <c r="S11" s="6">
        <v>0</v>
      </c>
      <c r="T11" s="6">
        <v>893.29998779296875</v>
      </c>
      <c r="U11" s="6">
        <v>893.29998779296875</v>
      </c>
      <c r="V11" s="6">
        <v>0</v>
      </c>
      <c r="W11" s="6">
        <v>23.25</v>
      </c>
      <c r="X11" s="6">
        <v>916.54998779296875</v>
      </c>
      <c r="Y11" s="6">
        <v>0</v>
      </c>
      <c r="Z11" s="6">
        <v>0</v>
      </c>
      <c r="AA11" s="6">
        <v>0</v>
      </c>
      <c r="AB11" s="6">
        <v>0</v>
      </c>
      <c r="AC11" s="6">
        <v>0</v>
      </c>
      <c r="AE11" t="s">
        <v>341</v>
      </c>
      <c r="AF11" t="s">
        <v>297</v>
      </c>
      <c r="AG11" t="s">
        <v>342</v>
      </c>
      <c r="AJ11"/>
      <c r="AL11"/>
      <c r="AM11" t="s">
        <v>343</v>
      </c>
      <c r="AN11" t="s">
        <v>128</v>
      </c>
      <c r="AO11" t="s">
        <v>90</v>
      </c>
      <c r="AQ11"/>
      <c r="AW11" t="s">
        <v>344</v>
      </c>
      <c r="AX11" t="s">
        <v>301</v>
      </c>
      <c r="AY11">
        <v>2025</v>
      </c>
      <c r="AZ11">
        <v>0</v>
      </c>
      <c r="BA11" t="s">
        <v>354</v>
      </c>
      <c r="BB11">
        <v>893.29998779296875</v>
      </c>
      <c r="BC11">
        <v>0</v>
      </c>
    </row>
    <row r="12" spans="1:55" x14ac:dyDescent="0.25">
      <c r="A12" t="s">
        <v>1</v>
      </c>
      <c r="B12" t="s">
        <v>74</v>
      </c>
      <c r="C12" t="s">
        <v>355</v>
      </c>
      <c r="D12" t="s">
        <v>27</v>
      </c>
      <c r="E12" t="s">
        <v>356</v>
      </c>
      <c r="F12" s="27" t="s">
        <v>307</v>
      </c>
      <c r="G12" t="s">
        <v>76</v>
      </c>
      <c r="H12" t="s">
        <v>290</v>
      </c>
      <c r="I12" t="s">
        <v>291</v>
      </c>
      <c r="J12" t="s">
        <v>79</v>
      </c>
      <c r="K12" t="s">
        <v>80</v>
      </c>
      <c r="L12" t="s">
        <v>81</v>
      </c>
      <c r="M12" t="s">
        <v>338</v>
      </c>
      <c r="N12" t="s">
        <v>339</v>
      </c>
      <c r="O12">
        <v>2</v>
      </c>
      <c r="P12" t="s">
        <v>84</v>
      </c>
      <c r="Q12" t="s">
        <v>340</v>
      </c>
      <c r="R12" t="s">
        <v>295</v>
      </c>
      <c r="S12" s="6">
        <v>0</v>
      </c>
      <c r="T12" s="6">
        <v>0</v>
      </c>
      <c r="U12" s="6">
        <v>0</v>
      </c>
      <c r="V12" s="6">
        <v>0</v>
      </c>
      <c r="W12" s="6">
        <v>0</v>
      </c>
      <c r="X12" s="6">
        <v>0</v>
      </c>
      <c r="Y12" s="6">
        <v>0</v>
      </c>
      <c r="Z12" s="6">
        <v>0</v>
      </c>
      <c r="AA12" s="6">
        <v>0</v>
      </c>
      <c r="AB12" s="6">
        <v>0</v>
      </c>
      <c r="AC12" s="6">
        <v>0</v>
      </c>
      <c r="AE12" t="s">
        <v>341</v>
      </c>
      <c r="AF12" t="s">
        <v>297</v>
      </c>
      <c r="AG12" t="s">
        <v>342</v>
      </c>
      <c r="AJ12"/>
      <c r="AL12"/>
      <c r="AM12" t="s">
        <v>343</v>
      </c>
      <c r="AN12" t="s">
        <v>128</v>
      </c>
      <c r="AO12" t="s">
        <v>90</v>
      </c>
      <c r="AP12"/>
      <c r="AQ12"/>
      <c r="AR12"/>
      <c r="AS12"/>
      <c r="AT12"/>
      <c r="AW12" t="s">
        <v>344</v>
      </c>
      <c r="AX12" t="s">
        <v>301</v>
      </c>
      <c r="AY12">
        <v>2025</v>
      </c>
      <c r="AZ12">
        <v>0</v>
      </c>
      <c r="BA12" t="s">
        <v>357</v>
      </c>
      <c r="BB12">
        <v>0</v>
      </c>
      <c r="BC12">
        <v>1</v>
      </c>
    </row>
    <row r="13" spans="1:55" x14ac:dyDescent="0.25">
      <c r="A13" t="s">
        <v>1</v>
      </c>
      <c r="B13" t="s">
        <v>74</v>
      </c>
      <c r="C13" t="s">
        <v>355</v>
      </c>
      <c r="D13" t="s">
        <v>164</v>
      </c>
      <c r="E13" t="s">
        <v>356</v>
      </c>
      <c r="F13" s="27" t="s">
        <v>307</v>
      </c>
      <c r="G13" t="s">
        <v>76</v>
      </c>
      <c r="H13" t="s">
        <v>290</v>
      </c>
      <c r="I13" t="s">
        <v>291</v>
      </c>
      <c r="J13" t="s">
        <v>79</v>
      </c>
      <c r="K13" t="s">
        <v>80</v>
      </c>
      <c r="L13" t="s">
        <v>81</v>
      </c>
      <c r="M13" t="s">
        <v>338</v>
      </c>
      <c r="N13" t="s">
        <v>339</v>
      </c>
      <c r="O13">
        <v>2</v>
      </c>
      <c r="P13" t="s">
        <v>84</v>
      </c>
      <c r="Q13" t="s">
        <v>340</v>
      </c>
      <c r="R13" t="s">
        <v>303</v>
      </c>
      <c r="S13" s="6">
        <v>0</v>
      </c>
      <c r="T13" s="6">
        <v>1044.68994140625</v>
      </c>
      <c r="U13" s="6">
        <v>1044.68994140625</v>
      </c>
      <c r="V13" s="6">
        <v>0</v>
      </c>
      <c r="W13" s="6">
        <v>33.5</v>
      </c>
      <c r="X13" s="6">
        <v>1078.18994140625</v>
      </c>
      <c r="Y13" s="6">
        <v>0</v>
      </c>
      <c r="Z13" s="6">
        <v>0</v>
      </c>
      <c r="AA13" s="6">
        <v>0</v>
      </c>
      <c r="AB13" s="6">
        <v>0</v>
      </c>
      <c r="AC13" s="6">
        <v>0</v>
      </c>
      <c r="AE13" t="s">
        <v>341</v>
      </c>
      <c r="AF13" t="s">
        <v>297</v>
      </c>
      <c r="AG13" t="s">
        <v>342</v>
      </c>
      <c r="AJ13"/>
      <c r="AL13"/>
      <c r="AM13" t="s">
        <v>343</v>
      </c>
      <c r="AN13" t="s">
        <v>128</v>
      </c>
      <c r="AO13" t="s">
        <v>90</v>
      </c>
      <c r="AQ13"/>
      <c r="AW13" t="s">
        <v>344</v>
      </c>
      <c r="AX13" t="s">
        <v>301</v>
      </c>
      <c r="AY13">
        <v>2025</v>
      </c>
      <c r="AZ13">
        <v>0</v>
      </c>
      <c r="BA13" t="s">
        <v>358</v>
      </c>
      <c r="BB13">
        <v>1044.68994140625</v>
      </c>
      <c r="BC13">
        <v>0</v>
      </c>
    </row>
    <row r="14" spans="1:55" x14ac:dyDescent="0.25">
      <c r="A14" t="s">
        <v>1</v>
      </c>
      <c r="B14" t="s">
        <v>74</v>
      </c>
      <c r="C14" t="s">
        <v>359</v>
      </c>
      <c r="D14" t="s">
        <v>27</v>
      </c>
      <c r="E14" t="s">
        <v>360</v>
      </c>
      <c r="F14" s="27" t="s">
        <v>307</v>
      </c>
      <c r="G14" t="s">
        <v>76</v>
      </c>
      <c r="H14" t="s">
        <v>290</v>
      </c>
      <c r="I14" t="s">
        <v>291</v>
      </c>
      <c r="J14" t="s">
        <v>79</v>
      </c>
      <c r="K14" t="s">
        <v>80</v>
      </c>
      <c r="L14" t="s">
        <v>81</v>
      </c>
      <c r="M14" t="s">
        <v>338</v>
      </c>
      <c r="N14" t="s">
        <v>339</v>
      </c>
      <c r="O14">
        <v>2</v>
      </c>
      <c r="P14" t="s">
        <v>84</v>
      </c>
      <c r="Q14" s="27" t="s">
        <v>340</v>
      </c>
      <c r="R14" t="s">
        <v>295</v>
      </c>
      <c r="S14" s="6">
        <v>0</v>
      </c>
      <c r="T14" s="6">
        <v>0</v>
      </c>
      <c r="U14" s="6">
        <v>0</v>
      </c>
      <c r="V14" s="6">
        <v>0</v>
      </c>
      <c r="W14" s="6">
        <v>0</v>
      </c>
      <c r="X14" s="6">
        <v>0</v>
      </c>
      <c r="Y14" s="6">
        <v>0</v>
      </c>
      <c r="Z14" s="6">
        <v>0</v>
      </c>
      <c r="AA14" s="6">
        <v>0</v>
      </c>
      <c r="AB14" s="6">
        <v>0</v>
      </c>
      <c r="AC14" s="6">
        <v>0</v>
      </c>
      <c r="AE14" t="s">
        <v>341</v>
      </c>
      <c r="AF14" t="s">
        <v>297</v>
      </c>
      <c r="AG14" t="s">
        <v>342</v>
      </c>
      <c r="AJ14"/>
      <c r="AL14"/>
      <c r="AM14" t="s">
        <v>343</v>
      </c>
      <c r="AN14" t="s">
        <v>128</v>
      </c>
      <c r="AO14" t="s">
        <v>90</v>
      </c>
      <c r="AP14"/>
      <c r="AQ14"/>
      <c r="AR14"/>
      <c r="AS14"/>
      <c r="AT14"/>
      <c r="AU14"/>
      <c r="AV14"/>
      <c r="AW14" t="s">
        <v>344</v>
      </c>
      <c r="AX14" t="s">
        <v>301</v>
      </c>
      <c r="AY14">
        <v>2025</v>
      </c>
      <c r="AZ14">
        <v>0</v>
      </c>
      <c r="BA14" t="s">
        <v>361</v>
      </c>
      <c r="BB14">
        <v>0</v>
      </c>
      <c r="BC14">
        <v>1</v>
      </c>
    </row>
    <row r="15" spans="1:55" x14ac:dyDescent="0.25">
      <c r="A15" t="s">
        <v>1</v>
      </c>
      <c r="B15" t="s">
        <v>74</v>
      </c>
      <c r="C15" t="s">
        <v>359</v>
      </c>
      <c r="D15" t="s">
        <v>164</v>
      </c>
      <c r="E15" t="s">
        <v>360</v>
      </c>
      <c r="F15" s="27" t="s">
        <v>307</v>
      </c>
      <c r="G15" t="s">
        <v>76</v>
      </c>
      <c r="H15" t="s">
        <v>290</v>
      </c>
      <c r="I15" t="s">
        <v>291</v>
      </c>
      <c r="J15" t="s">
        <v>79</v>
      </c>
      <c r="K15" t="s">
        <v>80</v>
      </c>
      <c r="L15" t="s">
        <v>81</v>
      </c>
      <c r="M15" t="s">
        <v>338</v>
      </c>
      <c r="N15" t="s">
        <v>339</v>
      </c>
      <c r="O15">
        <v>2</v>
      </c>
      <c r="P15" t="s">
        <v>84</v>
      </c>
      <c r="Q15" s="27" t="s">
        <v>340</v>
      </c>
      <c r="R15" t="s">
        <v>303</v>
      </c>
      <c r="S15" s="6">
        <v>0</v>
      </c>
      <c r="T15" s="6">
        <v>0</v>
      </c>
      <c r="U15" s="6">
        <v>0</v>
      </c>
      <c r="V15" s="6">
        <v>0</v>
      </c>
      <c r="W15" s="6">
        <v>16.75</v>
      </c>
      <c r="X15" s="6">
        <v>16.75</v>
      </c>
      <c r="Y15" s="6">
        <v>0</v>
      </c>
      <c r="Z15" s="6">
        <v>0</v>
      </c>
      <c r="AA15" s="6">
        <v>0</v>
      </c>
      <c r="AB15" s="6">
        <v>0</v>
      </c>
      <c r="AC15" s="6">
        <v>0</v>
      </c>
      <c r="AE15" t="s">
        <v>341</v>
      </c>
      <c r="AF15" t="s">
        <v>297</v>
      </c>
      <c r="AG15" t="s">
        <v>342</v>
      </c>
      <c r="AJ15"/>
      <c r="AL15"/>
      <c r="AM15" t="s">
        <v>343</v>
      </c>
      <c r="AN15" t="s">
        <v>128</v>
      </c>
      <c r="AO15" t="s">
        <v>90</v>
      </c>
      <c r="AQ15"/>
      <c r="AW15" t="s">
        <v>344</v>
      </c>
      <c r="AX15" t="s">
        <v>301</v>
      </c>
      <c r="AY15">
        <v>2025</v>
      </c>
      <c r="AZ15">
        <v>0</v>
      </c>
      <c r="BA15" t="s">
        <v>362</v>
      </c>
      <c r="BB15">
        <v>0</v>
      </c>
      <c r="BC15">
        <v>0</v>
      </c>
    </row>
    <row r="16" spans="1:55" x14ac:dyDescent="0.25">
      <c r="A16" t="s">
        <v>1</v>
      </c>
      <c r="B16" t="s">
        <v>74</v>
      </c>
      <c r="C16" t="s">
        <v>381</v>
      </c>
      <c r="D16" t="s">
        <v>27</v>
      </c>
      <c r="E16" t="s">
        <v>382</v>
      </c>
      <c r="F16" s="27" t="s">
        <v>383</v>
      </c>
      <c r="G16" t="s">
        <v>264</v>
      </c>
      <c r="H16" t="s">
        <v>290</v>
      </c>
      <c r="I16" t="s">
        <v>291</v>
      </c>
      <c r="J16" t="s">
        <v>79</v>
      </c>
      <c r="K16" t="s">
        <v>80</v>
      </c>
      <c r="L16" t="s">
        <v>81</v>
      </c>
      <c r="M16" t="s">
        <v>318</v>
      </c>
      <c r="N16" t="s">
        <v>384</v>
      </c>
      <c r="O16">
        <v>1</v>
      </c>
      <c r="P16" t="s">
        <v>84</v>
      </c>
      <c r="Q16" s="27" t="s">
        <v>267</v>
      </c>
      <c r="R16" t="s">
        <v>295</v>
      </c>
      <c r="S16" s="6">
        <v>0</v>
      </c>
      <c r="T16" s="6">
        <v>0</v>
      </c>
      <c r="U16" s="6">
        <v>0</v>
      </c>
      <c r="V16" s="6">
        <v>0</v>
      </c>
      <c r="W16" s="6">
        <v>0</v>
      </c>
      <c r="X16" s="6">
        <v>0</v>
      </c>
      <c r="Y16" s="6">
        <v>0</v>
      </c>
      <c r="Z16" s="6">
        <v>0</v>
      </c>
      <c r="AA16" s="6">
        <v>0</v>
      </c>
      <c r="AB16" s="6">
        <v>0</v>
      </c>
      <c r="AC16" s="6">
        <v>0</v>
      </c>
      <c r="AE16" t="s">
        <v>296</v>
      </c>
      <c r="AF16" t="s">
        <v>385</v>
      </c>
      <c r="AG16" t="s">
        <v>386</v>
      </c>
      <c r="AJ16"/>
      <c r="AL16"/>
      <c r="AM16" t="s">
        <v>387</v>
      </c>
      <c r="AN16" t="s">
        <v>128</v>
      </c>
      <c r="AO16" t="s">
        <v>90</v>
      </c>
      <c r="AQ16"/>
      <c r="AW16" t="s">
        <v>388</v>
      </c>
      <c r="AX16" t="s">
        <v>301</v>
      </c>
      <c r="AY16">
        <v>2025</v>
      </c>
      <c r="AZ16">
        <v>0</v>
      </c>
      <c r="BA16" t="s">
        <v>389</v>
      </c>
      <c r="BB16">
        <v>0</v>
      </c>
      <c r="BC16">
        <v>1</v>
      </c>
    </row>
    <row r="17" spans="1:55" x14ac:dyDescent="0.25">
      <c r="A17" t="s">
        <v>1</v>
      </c>
      <c r="B17" t="s">
        <v>74</v>
      </c>
      <c r="C17" t="s">
        <v>381</v>
      </c>
      <c r="D17" t="s">
        <v>164</v>
      </c>
      <c r="E17" t="s">
        <v>382</v>
      </c>
      <c r="F17" s="27" t="s">
        <v>383</v>
      </c>
      <c r="G17" t="s">
        <v>264</v>
      </c>
      <c r="H17" t="s">
        <v>290</v>
      </c>
      <c r="I17" t="s">
        <v>291</v>
      </c>
      <c r="J17" t="s">
        <v>79</v>
      </c>
      <c r="K17" t="s">
        <v>80</v>
      </c>
      <c r="L17" t="s">
        <v>81</v>
      </c>
      <c r="M17" t="s">
        <v>318</v>
      </c>
      <c r="N17" t="s">
        <v>384</v>
      </c>
      <c r="O17">
        <v>1</v>
      </c>
      <c r="P17" t="s">
        <v>84</v>
      </c>
      <c r="Q17" s="27" t="s">
        <v>267</v>
      </c>
      <c r="R17" t="s">
        <v>303</v>
      </c>
      <c r="S17" s="6">
        <v>0</v>
      </c>
      <c r="T17" s="6">
        <v>773.03997802734375</v>
      </c>
      <c r="U17" s="6">
        <v>773.03997802734375</v>
      </c>
      <c r="V17" s="6">
        <v>0</v>
      </c>
      <c r="W17" s="6">
        <v>17.889999389648441</v>
      </c>
      <c r="X17" s="6">
        <v>790.92999267578125</v>
      </c>
      <c r="Y17" s="6">
        <v>0</v>
      </c>
      <c r="Z17" s="6">
        <v>0</v>
      </c>
      <c r="AA17" s="6">
        <v>0</v>
      </c>
      <c r="AB17" s="6">
        <v>0</v>
      </c>
      <c r="AC17" s="6">
        <v>0</v>
      </c>
      <c r="AE17" t="s">
        <v>296</v>
      </c>
      <c r="AF17" t="s">
        <v>385</v>
      </c>
      <c r="AG17" t="s">
        <v>386</v>
      </c>
      <c r="AJ17"/>
      <c r="AL17"/>
      <c r="AM17" t="s">
        <v>387</v>
      </c>
      <c r="AN17" t="s">
        <v>128</v>
      </c>
      <c r="AO17" t="s">
        <v>90</v>
      </c>
      <c r="AP17"/>
      <c r="AQ17"/>
      <c r="AR17"/>
      <c r="AS17"/>
      <c r="AT17"/>
      <c r="AV17"/>
      <c r="AW17" t="s">
        <v>388</v>
      </c>
      <c r="AX17" t="s">
        <v>301</v>
      </c>
      <c r="AY17">
        <v>2025</v>
      </c>
      <c r="AZ17">
        <v>0</v>
      </c>
      <c r="BA17" t="s">
        <v>390</v>
      </c>
      <c r="BB17">
        <v>773.03997802734375</v>
      </c>
      <c r="BC17">
        <v>0</v>
      </c>
    </row>
    <row r="18" spans="1:55" x14ac:dyDescent="0.25">
      <c r="A18" t="s">
        <v>1</v>
      </c>
      <c r="B18" t="s">
        <v>74</v>
      </c>
      <c r="C18" t="s">
        <v>375</v>
      </c>
      <c r="D18" t="s">
        <v>27</v>
      </c>
      <c r="E18" t="s">
        <v>364</v>
      </c>
      <c r="F18" s="27" t="s">
        <v>365</v>
      </c>
      <c r="G18" t="s">
        <v>120</v>
      </c>
      <c r="H18" t="s">
        <v>290</v>
      </c>
      <c r="I18" t="s">
        <v>291</v>
      </c>
      <c r="J18" t="s">
        <v>79</v>
      </c>
      <c r="K18" t="s">
        <v>80</v>
      </c>
      <c r="L18" t="s">
        <v>81</v>
      </c>
      <c r="M18" t="s">
        <v>136</v>
      </c>
      <c r="N18" t="s">
        <v>137</v>
      </c>
      <c r="O18">
        <v>2</v>
      </c>
      <c r="P18" t="s">
        <v>171</v>
      </c>
      <c r="R18" t="s">
        <v>295</v>
      </c>
      <c r="S18" s="6">
        <v>6731.39013671875</v>
      </c>
      <c r="T18" s="6">
        <v>8268.6103515625</v>
      </c>
      <c r="U18" s="6">
        <v>15000</v>
      </c>
      <c r="V18" s="6">
        <v>6244.06982421875</v>
      </c>
      <c r="W18" s="6">
        <v>1755.930053710938</v>
      </c>
      <c r="X18" s="6">
        <v>23000</v>
      </c>
      <c r="Y18" s="6">
        <v>0</v>
      </c>
      <c r="Z18" s="6">
        <v>0</v>
      </c>
      <c r="AA18" s="6">
        <v>0</v>
      </c>
      <c r="AB18" s="6">
        <v>0</v>
      </c>
      <c r="AC18" s="6">
        <v>0</v>
      </c>
      <c r="AD18" s="27" t="s">
        <v>466</v>
      </c>
      <c r="AE18" t="s">
        <v>376</v>
      </c>
      <c r="AF18" t="s">
        <v>297</v>
      </c>
      <c r="AG18" t="s">
        <v>342</v>
      </c>
      <c r="AJ18"/>
      <c r="AL18"/>
      <c r="AM18" t="s">
        <v>377</v>
      </c>
      <c r="AN18" t="s">
        <v>142</v>
      </c>
      <c r="AO18" t="s">
        <v>90</v>
      </c>
      <c r="AQ18"/>
      <c r="AW18" t="s">
        <v>378</v>
      </c>
      <c r="AX18" t="s">
        <v>301</v>
      </c>
      <c r="AY18">
        <v>2025</v>
      </c>
      <c r="AZ18">
        <v>0</v>
      </c>
      <c r="BA18" t="s">
        <v>379</v>
      </c>
      <c r="BB18">
        <v>15000</v>
      </c>
      <c r="BC18">
        <v>1</v>
      </c>
    </row>
    <row r="19" spans="1:55" x14ac:dyDescent="0.25">
      <c r="A19" t="s">
        <v>1</v>
      </c>
      <c r="B19" t="s">
        <v>74</v>
      </c>
      <c r="C19" t="s">
        <v>375</v>
      </c>
      <c r="D19" t="s">
        <v>164</v>
      </c>
      <c r="E19" t="s">
        <v>364</v>
      </c>
      <c r="F19" s="27" t="s">
        <v>365</v>
      </c>
      <c r="G19" t="s">
        <v>120</v>
      </c>
      <c r="H19" t="s">
        <v>290</v>
      </c>
      <c r="I19" t="s">
        <v>291</v>
      </c>
      <c r="J19" t="s">
        <v>79</v>
      </c>
      <c r="K19" t="s">
        <v>80</v>
      </c>
      <c r="L19" t="s">
        <v>81</v>
      </c>
      <c r="M19" t="s">
        <v>136</v>
      </c>
      <c r="N19" t="s">
        <v>137</v>
      </c>
      <c r="O19">
        <v>2</v>
      </c>
      <c r="P19" t="s">
        <v>171</v>
      </c>
      <c r="R19" t="s">
        <v>303</v>
      </c>
      <c r="S19" s="6">
        <v>4652.60009765625</v>
      </c>
      <c r="T19" s="6">
        <v>9099.919921875</v>
      </c>
      <c r="U19" s="6">
        <v>13752.51953125</v>
      </c>
      <c r="V19" s="6">
        <v>0</v>
      </c>
      <c r="W19" s="6">
        <v>1136.329956054688</v>
      </c>
      <c r="X19" s="6">
        <v>14888.849609375</v>
      </c>
      <c r="Y19" s="6">
        <v>0</v>
      </c>
      <c r="Z19" s="6">
        <v>0</v>
      </c>
      <c r="AA19" s="6">
        <v>-9.4099998474121094</v>
      </c>
      <c r="AB19" s="6">
        <v>0</v>
      </c>
      <c r="AC19" s="6">
        <v>0</v>
      </c>
      <c r="AD19" s="27" t="s">
        <v>466</v>
      </c>
      <c r="AE19" t="s">
        <v>376</v>
      </c>
      <c r="AF19" t="s">
        <v>297</v>
      </c>
      <c r="AG19" t="s">
        <v>342</v>
      </c>
      <c r="AJ19"/>
      <c r="AL19"/>
      <c r="AM19" t="s">
        <v>377</v>
      </c>
      <c r="AN19" t="s">
        <v>142</v>
      </c>
      <c r="AO19" t="s">
        <v>90</v>
      </c>
      <c r="AQ19"/>
      <c r="AW19" t="s">
        <v>378</v>
      </c>
      <c r="AX19" t="s">
        <v>301</v>
      </c>
      <c r="AY19">
        <v>2025</v>
      </c>
      <c r="AZ19">
        <v>0</v>
      </c>
      <c r="BA19" t="s">
        <v>380</v>
      </c>
      <c r="BB19">
        <v>13752.51953125</v>
      </c>
      <c r="BC19">
        <v>0</v>
      </c>
    </row>
    <row r="20" spans="1:55" x14ac:dyDescent="0.25">
      <c r="A20" t="s">
        <v>1</v>
      </c>
      <c r="B20" t="s">
        <v>74</v>
      </c>
      <c r="C20" t="s">
        <v>398</v>
      </c>
      <c r="D20" t="s">
        <v>27</v>
      </c>
      <c r="E20" t="s">
        <v>399</v>
      </c>
      <c r="F20" s="27" t="s">
        <v>400</v>
      </c>
      <c r="G20" t="s">
        <v>401</v>
      </c>
      <c r="H20" t="s">
        <v>290</v>
      </c>
      <c r="I20" t="s">
        <v>291</v>
      </c>
      <c r="J20" t="s">
        <v>79</v>
      </c>
      <c r="K20" t="s">
        <v>80</v>
      </c>
      <c r="L20" t="s">
        <v>81</v>
      </c>
      <c r="M20" t="s">
        <v>112</v>
      </c>
      <c r="N20" t="s">
        <v>309</v>
      </c>
      <c r="O20">
        <v>16</v>
      </c>
      <c r="P20" t="s">
        <v>171</v>
      </c>
      <c r="R20" t="s">
        <v>295</v>
      </c>
      <c r="S20" s="6">
        <v>0</v>
      </c>
      <c r="T20" s="6">
        <v>0</v>
      </c>
      <c r="U20" s="6">
        <v>0</v>
      </c>
      <c r="V20" s="6">
        <v>0</v>
      </c>
      <c r="W20" s="6">
        <v>0</v>
      </c>
      <c r="X20" s="6">
        <v>0</v>
      </c>
      <c r="Y20" s="6">
        <v>0</v>
      </c>
      <c r="Z20" s="6">
        <v>0</v>
      </c>
      <c r="AA20" s="6">
        <v>0</v>
      </c>
      <c r="AB20" s="6">
        <v>0</v>
      </c>
      <c r="AC20" s="6">
        <v>0</v>
      </c>
      <c r="AE20" t="s">
        <v>402</v>
      </c>
      <c r="AF20" t="s">
        <v>403</v>
      </c>
      <c r="AG20" t="s">
        <v>370</v>
      </c>
      <c r="AJ20"/>
      <c r="AL20"/>
      <c r="AM20" t="s">
        <v>387</v>
      </c>
      <c r="AN20" t="s">
        <v>250</v>
      </c>
      <c r="AO20" t="s">
        <v>90</v>
      </c>
      <c r="AQ20"/>
      <c r="AW20" t="s">
        <v>404</v>
      </c>
      <c r="AX20" t="s">
        <v>301</v>
      </c>
      <c r="AY20">
        <v>2025</v>
      </c>
      <c r="AZ20">
        <v>0</v>
      </c>
      <c r="BA20" t="s">
        <v>405</v>
      </c>
      <c r="BB20">
        <v>0</v>
      </c>
      <c r="BC20">
        <v>1</v>
      </c>
    </row>
    <row r="21" spans="1:55" x14ac:dyDescent="0.25">
      <c r="A21" t="s">
        <v>1</v>
      </c>
      <c r="B21" t="s">
        <v>74</v>
      </c>
      <c r="C21" t="s">
        <v>398</v>
      </c>
      <c r="D21" t="s">
        <v>164</v>
      </c>
      <c r="E21" t="s">
        <v>399</v>
      </c>
      <c r="F21" s="27" t="s">
        <v>400</v>
      </c>
      <c r="G21" t="s">
        <v>401</v>
      </c>
      <c r="H21" t="s">
        <v>290</v>
      </c>
      <c r="I21" t="s">
        <v>291</v>
      </c>
      <c r="J21" t="s">
        <v>79</v>
      </c>
      <c r="K21" t="s">
        <v>80</v>
      </c>
      <c r="L21" t="s">
        <v>81</v>
      </c>
      <c r="M21" t="s">
        <v>112</v>
      </c>
      <c r="N21" t="s">
        <v>309</v>
      </c>
      <c r="O21">
        <v>16</v>
      </c>
      <c r="P21" t="s">
        <v>171</v>
      </c>
      <c r="R21" t="s">
        <v>303</v>
      </c>
      <c r="S21" s="6">
        <v>2500</v>
      </c>
      <c r="T21" s="6">
        <v>0</v>
      </c>
      <c r="U21" s="6">
        <v>2500</v>
      </c>
      <c r="V21" s="6">
        <v>0</v>
      </c>
      <c r="W21" s="6">
        <v>0</v>
      </c>
      <c r="X21" s="6">
        <v>2500</v>
      </c>
      <c r="Y21" s="6">
        <v>0</v>
      </c>
      <c r="Z21" s="6">
        <v>0</v>
      </c>
      <c r="AA21" s="6">
        <v>0</v>
      </c>
      <c r="AB21" s="6">
        <v>0</v>
      </c>
      <c r="AC21" s="6">
        <v>0</v>
      </c>
      <c r="AE21" t="s">
        <v>402</v>
      </c>
      <c r="AF21" t="s">
        <v>403</v>
      </c>
      <c r="AG21" t="s">
        <v>370</v>
      </c>
      <c r="AJ21"/>
      <c r="AL21"/>
      <c r="AM21" t="s">
        <v>387</v>
      </c>
      <c r="AN21" t="s">
        <v>250</v>
      </c>
      <c r="AO21" t="s">
        <v>90</v>
      </c>
      <c r="AQ21"/>
      <c r="AW21" t="s">
        <v>404</v>
      </c>
      <c r="AX21" t="s">
        <v>301</v>
      </c>
      <c r="AY21">
        <v>2025</v>
      </c>
      <c r="AZ21">
        <v>0</v>
      </c>
      <c r="BA21" t="s">
        <v>406</v>
      </c>
      <c r="BB21">
        <v>2500</v>
      </c>
      <c r="BC21">
        <v>0</v>
      </c>
    </row>
    <row r="22" spans="1:55" x14ac:dyDescent="0.25">
      <c r="A22" t="s">
        <v>1</v>
      </c>
      <c r="B22" t="s">
        <v>74</v>
      </c>
      <c r="C22" t="s">
        <v>287</v>
      </c>
      <c r="D22" t="s">
        <v>27</v>
      </c>
      <c r="E22" t="s">
        <v>288</v>
      </c>
      <c r="F22" s="27" t="s">
        <v>289</v>
      </c>
      <c r="G22" t="s">
        <v>76</v>
      </c>
      <c r="H22" t="s">
        <v>290</v>
      </c>
      <c r="I22" t="s">
        <v>291</v>
      </c>
      <c r="J22" t="s">
        <v>79</v>
      </c>
      <c r="K22" t="s">
        <v>80</v>
      </c>
      <c r="L22" t="s">
        <v>81</v>
      </c>
      <c r="M22" t="s">
        <v>292</v>
      </c>
      <c r="N22" t="s">
        <v>293</v>
      </c>
      <c r="O22">
        <v>19</v>
      </c>
      <c r="P22" t="s">
        <v>84</v>
      </c>
      <c r="Q22" t="s">
        <v>294</v>
      </c>
      <c r="R22" t="s">
        <v>295</v>
      </c>
      <c r="S22" s="6">
        <v>0</v>
      </c>
      <c r="T22" s="6">
        <v>0</v>
      </c>
      <c r="U22" s="6">
        <v>0</v>
      </c>
      <c r="V22" s="6">
        <v>0</v>
      </c>
      <c r="W22" s="6">
        <v>0</v>
      </c>
      <c r="X22" s="6">
        <v>0</v>
      </c>
      <c r="Y22" s="6">
        <v>0</v>
      </c>
      <c r="Z22" s="6">
        <v>0</v>
      </c>
      <c r="AA22" s="6">
        <v>0</v>
      </c>
      <c r="AB22" s="6">
        <v>0</v>
      </c>
      <c r="AC22" s="6">
        <v>0</v>
      </c>
      <c r="AE22" t="s">
        <v>296</v>
      </c>
      <c r="AF22" t="s">
        <v>297</v>
      </c>
      <c r="AG22" t="s">
        <v>298</v>
      </c>
      <c r="AJ22"/>
      <c r="AL22"/>
      <c r="AM22" t="s">
        <v>299</v>
      </c>
      <c r="AN22" t="s">
        <v>142</v>
      </c>
      <c r="AO22" t="s">
        <v>90</v>
      </c>
      <c r="AP22"/>
      <c r="AQ22"/>
      <c r="AR22"/>
      <c r="AS22"/>
      <c r="AT22"/>
      <c r="AW22" t="s">
        <v>300</v>
      </c>
      <c r="AX22" t="s">
        <v>301</v>
      </c>
      <c r="AY22">
        <v>2025</v>
      </c>
      <c r="AZ22">
        <v>0</v>
      </c>
      <c r="BA22" t="s">
        <v>302</v>
      </c>
      <c r="BB22">
        <v>0</v>
      </c>
      <c r="BC22">
        <v>1</v>
      </c>
    </row>
    <row r="23" spans="1:55" x14ac:dyDescent="0.25">
      <c r="A23" t="s">
        <v>1</v>
      </c>
      <c r="B23" t="s">
        <v>74</v>
      </c>
      <c r="C23" t="s">
        <v>287</v>
      </c>
      <c r="D23" t="s">
        <v>164</v>
      </c>
      <c r="E23" t="s">
        <v>288</v>
      </c>
      <c r="F23" s="27" t="s">
        <v>289</v>
      </c>
      <c r="G23" t="s">
        <v>76</v>
      </c>
      <c r="H23" t="s">
        <v>290</v>
      </c>
      <c r="I23" t="s">
        <v>291</v>
      </c>
      <c r="J23" t="s">
        <v>79</v>
      </c>
      <c r="K23" t="s">
        <v>80</v>
      </c>
      <c r="L23" t="s">
        <v>81</v>
      </c>
      <c r="M23" t="s">
        <v>292</v>
      </c>
      <c r="N23" t="s">
        <v>293</v>
      </c>
      <c r="O23">
        <v>19</v>
      </c>
      <c r="P23" t="s">
        <v>84</v>
      </c>
      <c r="Q23" t="s">
        <v>294</v>
      </c>
      <c r="R23" t="s">
        <v>303</v>
      </c>
      <c r="S23" s="6">
        <v>0</v>
      </c>
      <c r="T23" s="6">
        <v>0</v>
      </c>
      <c r="U23" s="6">
        <v>0</v>
      </c>
      <c r="V23" s="6">
        <v>0</v>
      </c>
      <c r="W23" s="6">
        <v>0</v>
      </c>
      <c r="X23" s="6">
        <v>0</v>
      </c>
      <c r="Y23" s="6">
        <v>0</v>
      </c>
      <c r="Z23" s="6">
        <v>0</v>
      </c>
      <c r="AA23" s="6">
        <v>0</v>
      </c>
      <c r="AB23" s="6">
        <v>0</v>
      </c>
      <c r="AC23" s="6">
        <v>0</v>
      </c>
      <c r="AE23" t="s">
        <v>296</v>
      </c>
      <c r="AF23" t="s">
        <v>297</v>
      </c>
      <c r="AG23" t="s">
        <v>298</v>
      </c>
      <c r="AJ23"/>
      <c r="AL23"/>
      <c r="AM23" t="s">
        <v>299</v>
      </c>
      <c r="AN23" t="s">
        <v>142</v>
      </c>
      <c r="AO23" t="s">
        <v>90</v>
      </c>
      <c r="AP23"/>
      <c r="AQ23"/>
      <c r="AR23"/>
      <c r="AS23"/>
      <c r="AT23"/>
      <c r="AV23"/>
      <c r="AW23" t="s">
        <v>300</v>
      </c>
      <c r="AX23" t="s">
        <v>301</v>
      </c>
      <c r="AY23">
        <v>2025</v>
      </c>
      <c r="AZ23">
        <v>0</v>
      </c>
      <c r="BA23" t="s">
        <v>304</v>
      </c>
      <c r="BB23">
        <v>0</v>
      </c>
      <c r="BC23">
        <v>0</v>
      </c>
    </row>
    <row r="24" spans="1:55" x14ac:dyDescent="0.25">
      <c r="A24" t="s">
        <v>1</v>
      </c>
      <c r="B24" t="s">
        <v>74</v>
      </c>
      <c r="C24" t="s">
        <v>415</v>
      </c>
      <c r="D24" t="s">
        <v>27</v>
      </c>
      <c r="E24" t="s">
        <v>416</v>
      </c>
      <c r="F24" s="27" t="s">
        <v>409</v>
      </c>
      <c r="G24" t="s">
        <v>410</v>
      </c>
      <c r="H24" t="s">
        <v>290</v>
      </c>
      <c r="I24" t="s">
        <v>291</v>
      </c>
      <c r="J24" t="s">
        <v>79</v>
      </c>
      <c r="K24" t="s">
        <v>80</v>
      </c>
      <c r="L24" t="s">
        <v>81</v>
      </c>
      <c r="M24" t="s">
        <v>294</v>
      </c>
      <c r="N24" t="s">
        <v>417</v>
      </c>
      <c r="O24">
        <v>4</v>
      </c>
      <c r="P24" t="s">
        <v>171</v>
      </c>
      <c r="Q24"/>
      <c r="R24" t="s">
        <v>295</v>
      </c>
      <c r="S24" s="6">
        <v>0</v>
      </c>
      <c r="T24" s="6">
        <v>0</v>
      </c>
      <c r="U24" s="6">
        <v>0</v>
      </c>
      <c r="V24" s="6">
        <v>0</v>
      </c>
      <c r="W24" s="6">
        <v>0</v>
      </c>
      <c r="X24" s="6">
        <v>0</v>
      </c>
      <c r="Y24" s="6">
        <v>0</v>
      </c>
      <c r="Z24" s="6">
        <v>0</v>
      </c>
      <c r="AA24" s="6">
        <v>0</v>
      </c>
      <c r="AB24" s="6">
        <v>0</v>
      </c>
      <c r="AC24" s="6">
        <v>0</v>
      </c>
      <c r="AE24" t="s">
        <v>418</v>
      </c>
      <c r="AF24" t="s">
        <v>385</v>
      </c>
      <c r="AG24" t="s">
        <v>419</v>
      </c>
      <c r="AJ24"/>
      <c r="AL24"/>
      <c r="AM24" t="s">
        <v>377</v>
      </c>
      <c r="AN24" t="s">
        <v>250</v>
      </c>
      <c r="AO24" t="s">
        <v>90</v>
      </c>
      <c r="AP24"/>
      <c r="AQ24"/>
      <c r="AR24"/>
      <c r="AS24"/>
      <c r="AT24"/>
      <c r="AW24" t="s">
        <v>420</v>
      </c>
      <c r="AX24" t="s">
        <v>301</v>
      </c>
      <c r="AY24">
        <v>2025</v>
      </c>
      <c r="AZ24">
        <v>0</v>
      </c>
      <c r="BA24" t="s">
        <v>421</v>
      </c>
      <c r="BB24">
        <v>0</v>
      </c>
      <c r="BC24">
        <v>1</v>
      </c>
    </row>
    <row r="25" spans="1:55" x14ac:dyDescent="0.25">
      <c r="A25" t="s">
        <v>1</v>
      </c>
      <c r="B25" t="s">
        <v>74</v>
      </c>
      <c r="C25" t="s">
        <v>415</v>
      </c>
      <c r="D25" t="s">
        <v>164</v>
      </c>
      <c r="E25" t="s">
        <v>416</v>
      </c>
      <c r="F25" s="27" t="s">
        <v>409</v>
      </c>
      <c r="G25" t="s">
        <v>410</v>
      </c>
      <c r="H25" t="s">
        <v>290</v>
      </c>
      <c r="I25" t="s">
        <v>291</v>
      </c>
      <c r="J25" t="s">
        <v>79</v>
      </c>
      <c r="K25" t="s">
        <v>80</v>
      </c>
      <c r="L25" t="s">
        <v>81</v>
      </c>
      <c r="M25" t="s">
        <v>294</v>
      </c>
      <c r="N25" t="s">
        <v>417</v>
      </c>
      <c r="O25">
        <v>4</v>
      </c>
      <c r="P25" t="s">
        <v>171</v>
      </c>
      <c r="Q25"/>
      <c r="R25" t="s">
        <v>303</v>
      </c>
      <c r="S25" s="6">
        <v>2041.010009765625</v>
      </c>
      <c r="T25" s="6">
        <v>458.989990234375</v>
      </c>
      <c r="U25" s="6">
        <v>2500</v>
      </c>
      <c r="V25" s="6">
        <v>0</v>
      </c>
      <c r="W25" s="6">
        <v>0</v>
      </c>
      <c r="X25" s="6">
        <v>2500</v>
      </c>
      <c r="Y25" s="6">
        <v>0</v>
      </c>
      <c r="Z25" s="6">
        <v>0</v>
      </c>
      <c r="AA25" s="6">
        <v>0</v>
      </c>
      <c r="AB25" s="6">
        <v>0</v>
      </c>
      <c r="AC25" s="6">
        <v>0</v>
      </c>
      <c r="AE25" t="s">
        <v>418</v>
      </c>
      <c r="AF25" t="s">
        <v>385</v>
      </c>
      <c r="AG25" t="s">
        <v>419</v>
      </c>
      <c r="AJ25"/>
      <c r="AL25"/>
      <c r="AM25" t="s">
        <v>377</v>
      </c>
      <c r="AN25" t="s">
        <v>250</v>
      </c>
      <c r="AO25" t="s">
        <v>90</v>
      </c>
      <c r="AQ25"/>
      <c r="AW25" t="s">
        <v>420</v>
      </c>
      <c r="AX25" t="s">
        <v>301</v>
      </c>
      <c r="AY25">
        <v>2025</v>
      </c>
      <c r="AZ25">
        <v>0</v>
      </c>
      <c r="BA25" t="s">
        <v>422</v>
      </c>
      <c r="BB25">
        <v>2500</v>
      </c>
      <c r="BC25">
        <v>0</v>
      </c>
    </row>
    <row r="26" spans="1:55" x14ac:dyDescent="0.25">
      <c r="A26" t="s">
        <v>1</v>
      </c>
      <c r="B26" t="s">
        <v>74</v>
      </c>
      <c r="C26" t="s">
        <v>391</v>
      </c>
      <c r="D26" t="s">
        <v>27</v>
      </c>
      <c r="E26" t="s">
        <v>392</v>
      </c>
      <c r="F26" s="27" t="s">
        <v>383</v>
      </c>
      <c r="G26" t="s">
        <v>264</v>
      </c>
      <c r="H26" t="s">
        <v>290</v>
      </c>
      <c r="I26" t="s">
        <v>291</v>
      </c>
      <c r="J26" t="s">
        <v>79</v>
      </c>
      <c r="K26" t="s">
        <v>80</v>
      </c>
      <c r="L26" t="s">
        <v>81</v>
      </c>
      <c r="M26" t="s">
        <v>393</v>
      </c>
      <c r="N26" t="s">
        <v>394</v>
      </c>
      <c r="O26">
        <v>1</v>
      </c>
      <c r="P26" t="s">
        <v>171</v>
      </c>
      <c r="R26" t="s">
        <v>295</v>
      </c>
      <c r="S26" s="6">
        <v>0</v>
      </c>
      <c r="T26" s="6">
        <v>0</v>
      </c>
      <c r="U26" s="6">
        <v>0</v>
      </c>
      <c r="V26" s="6">
        <v>0</v>
      </c>
      <c r="W26" s="6">
        <v>0</v>
      </c>
      <c r="X26" s="6">
        <v>0</v>
      </c>
      <c r="Y26" s="6">
        <v>0</v>
      </c>
      <c r="Z26" s="6">
        <v>0</v>
      </c>
      <c r="AA26" s="6">
        <v>0</v>
      </c>
      <c r="AB26" s="6">
        <v>0</v>
      </c>
      <c r="AC26" s="6">
        <v>0</v>
      </c>
      <c r="AE26" t="s">
        <v>395</v>
      </c>
      <c r="AF26" t="s">
        <v>297</v>
      </c>
      <c r="AG26" t="s">
        <v>370</v>
      </c>
      <c r="AJ26"/>
      <c r="AL26"/>
      <c r="AM26" t="s">
        <v>377</v>
      </c>
      <c r="AN26" t="s">
        <v>250</v>
      </c>
      <c r="AO26" t="s">
        <v>90</v>
      </c>
      <c r="AQ26"/>
      <c r="AW26" t="s">
        <v>300</v>
      </c>
      <c r="AX26" t="s">
        <v>301</v>
      </c>
      <c r="AY26">
        <v>2025</v>
      </c>
      <c r="AZ26">
        <v>0</v>
      </c>
      <c r="BA26" t="s">
        <v>396</v>
      </c>
      <c r="BB26">
        <v>0</v>
      </c>
      <c r="BC26">
        <v>1</v>
      </c>
    </row>
    <row r="27" spans="1:55" x14ac:dyDescent="0.25">
      <c r="A27" t="s">
        <v>1</v>
      </c>
      <c r="B27" t="s">
        <v>74</v>
      </c>
      <c r="C27" t="s">
        <v>391</v>
      </c>
      <c r="D27" t="s">
        <v>164</v>
      </c>
      <c r="E27" t="s">
        <v>392</v>
      </c>
      <c r="F27" t="s">
        <v>383</v>
      </c>
      <c r="G27" t="s">
        <v>264</v>
      </c>
      <c r="H27" t="s">
        <v>290</v>
      </c>
      <c r="I27" t="s">
        <v>291</v>
      </c>
      <c r="J27" t="s">
        <v>79</v>
      </c>
      <c r="K27" t="s">
        <v>80</v>
      </c>
      <c r="L27" t="s">
        <v>81</v>
      </c>
      <c r="M27" t="s">
        <v>393</v>
      </c>
      <c r="N27" t="s">
        <v>394</v>
      </c>
      <c r="O27">
        <v>1</v>
      </c>
      <c r="P27" t="s">
        <v>171</v>
      </c>
      <c r="Q27"/>
      <c r="R27" t="s">
        <v>303</v>
      </c>
      <c r="S27" s="6">
        <v>2500</v>
      </c>
      <c r="T27" s="6">
        <v>0</v>
      </c>
      <c r="U27" s="6">
        <v>2500</v>
      </c>
      <c r="V27" s="6">
        <v>0</v>
      </c>
      <c r="W27" s="6">
        <v>0</v>
      </c>
      <c r="X27" s="6">
        <v>2500</v>
      </c>
      <c r="Y27" s="6">
        <v>0</v>
      </c>
      <c r="Z27" s="6">
        <v>0</v>
      </c>
      <c r="AA27" s="6">
        <v>0</v>
      </c>
      <c r="AB27" s="6">
        <v>0</v>
      </c>
      <c r="AC27" s="6">
        <v>0</v>
      </c>
      <c r="AE27" t="s">
        <v>395</v>
      </c>
      <c r="AF27" t="s">
        <v>297</v>
      </c>
      <c r="AG27" t="s">
        <v>370</v>
      </c>
      <c r="AJ27"/>
      <c r="AL27"/>
      <c r="AM27" t="s">
        <v>377</v>
      </c>
      <c r="AN27" t="s">
        <v>250</v>
      </c>
      <c r="AO27" t="s">
        <v>90</v>
      </c>
      <c r="AQ27"/>
      <c r="AW27" t="s">
        <v>300</v>
      </c>
      <c r="AX27" t="s">
        <v>301</v>
      </c>
      <c r="AY27">
        <v>2025</v>
      </c>
      <c r="AZ27">
        <v>0</v>
      </c>
      <c r="BA27" t="s">
        <v>397</v>
      </c>
      <c r="BB27">
        <v>2500</v>
      </c>
      <c r="BC27">
        <v>0</v>
      </c>
    </row>
    <row r="28" spans="1:55" x14ac:dyDescent="0.25">
      <c r="A28" t="s">
        <v>1</v>
      </c>
      <c r="B28" t="s">
        <v>74</v>
      </c>
      <c r="C28" t="s">
        <v>107</v>
      </c>
      <c r="D28" t="s">
        <v>27</v>
      </c>
      <c r="E28" t="s">
        <v>108</v>
      </c>
      <c r="F28"/>
      <c r="G28" t="s">
        <v>109</v>
      </c>
      <c r="H28" t="s">
        <v>77</v>
      </c>
      <c r="I28" t="s">
        <v>78</v>
      </c>
      <c r="J28" t="s">
        <v>79</v>
      </c>
      <c r="K28" t="s">
        <v>80</v>
      </c>
      <c r="L28" t="s">
        <v>81</v>
      </c>
      <c r="M28" t="s">
        <v>110</v>
      </c>
      <c r="N28" t="s">
        <v>111</v>
      </c>
      <c r="O28">
        <v>11</v>
      </c>
      <c r="P28" t="s">
        <v>84</v>
      </c>
      <c r="Q28" t="s">
        <v>112</v>
      </c>
      <c r="R28" t="s">
        <v>113</v>
      </c>
      <c r="S28" s="6">
        <v>0</v>
      </c>
      <c r="T28" s="6">
        <v>3917.139892578125</v>
      </c>
      <c r="U28" s="6">
        <v>3917.139892578125</v>
      </c>
      <c r="V28" s="6">
        <v>0</v>
      </c>
      <c r="W28" s="6">
        <v>0</v>
      </c>
      <c r="X28" s="6">
        <v>3917.139892578125</v>
      </c>
      <c r="Y28" s="6">
        <v>0</v>
      </c>
      <c r="Z28" s="6">
        <v>0</v>
      </c>
      <c r="AA28" s="6">
        <v>0</v>
      </c>
      <c r="AB28" s="6">
        <v>0</v>
      </c>
      <c r="AC28" s="6">
        <v>0</v>
      </c>
      <c r="AE28" t="s">
        <v>114</v>
      </c>
      <c r="AF28" t="s">
        <v>115</v>
      </c>
      <c r="AG28" t="s">
        <v>89</v>
      </c>
      <c r="AJ28"/>
      <c r="AL28"/>
      <c r="AM28" t="s">
        <v>90</v>
      </c>
      <c r="AN28" t="s">
        <v>91</v>
      </c>
      <c r="AO28" t="s">
        <v>116</v>
      </c>
      <c r="AQ28"/>
      <c r="AW28" t="s">
        <v>117</v>
      </c>
      <c r="AX28" t="s">
        <v>98</v>
      </c>
      <c r="AY28">
        <v>2025</v>
      </c>
      <c r="AZ28">
        <v>0</v>
      </c>
      <c r="BA28" t="s">
        <v>118</v>
      </c>
      <c r="BB28">
        <v>3917.139892578125</v>
      </c>
      <c r="BC28">
        <v>1</v>
      </c>
    </row>
    <row r="29" spans="1:55" x14ac:dyDescent="0.25">
      <c r="A29" t="s">
        <v>1</v>
      </c>
      <c r="B29" t="s">
        <v>74</v>
      </c>
      <c r="C29" t="s">
        <v>119</v>
      </c>
      <c r="D29" t="s">
        <v>27</v>
      </c>
      <c r="E29" t="s">
        <v>74</v>
      </c>
      <c r="F29"/>
      <c r="G29" t="s">
        <v>120</v>
      </c>
      <c r="H29" t="s">
        <v>77</v>
      </c>
      <c r="I29" t="s">
        <v>78</v>
      </c>
      <c r="J29" t="s">
        <v>79</v>
      </c>
      <c r="K29" t="s">
        <v>80</v>
      </c>
      <c r="L29" t="s">
        <v>81</v>
      </c>
      <c r="M29" t="s">
        <v>121</v>
      </c>
      <c r="N29" t="s">
        <v>122</v>
      </c>
      <c r="O29">
        <v>57</v>
      </c>
      <c r="P29" t="s">
        <v>84</v>
      </c>
      <c r="Q29" s="27" t="s">
        <v>123</v>
      </c>
      <c r="R29" t="s">
        <v>124</v>
      </c>
      <c r="S29" s="6">
        <v>0</v>
      </c>
      <c r="T29" s="6">
        <v>4181.72998046875</v>
      </c>
      <c r="U29" s="6">
        <v>4181.72998046875</v>
      </c>
      <c r="V29" s="6">
        <v>0</v>
      </c>
      <c r="W29" s="6">
        <v>0</v>
      </c>
      <c r="X29" s="6">
        <v>4181.72998046875</v>
      </c>
      <c r="Y29" s="6">
        <v>0</v>
      </c>
      <c r="Z29" s="6">
        <v>0</v>
      </c>
      <c r="AA29" s="6">
        <v>0</v>
      </c>
      <c r="AB29" s="6">
        <v>0</v>
      </c>
      <c r="AC29" s="6">
        <v>0</v>
      </c>
      <c r="AE29" t="s">
        <v>125</v>
      </c>
      <c r="AF29" t="s">
        <v>126</v>
      </c>
      <c r="AG29" t="s">
        <v>127</v>
      </c>
      <c r="AJ29"/>
      <c r="AL29"/>
      <c r="AM29" t="s">
        <v>90</v>
      </c>
      <c r="AN29" t="s">
        <v>128</v>
      </c>
      <c r="AO29" t="s">
        <v>129</v>
      </c>
      <c r="AP29" s="27" t="s">
        <v>92</v>
      </c>
      <c r="AQ29">
        <v>2023</v>
      </c>
      <c r="AR29" s="27" t="s">
        <v>130</v>
      </c>
      <c r="AS29" s="27" t="s">
        <v>131</v>
      </c>
      <c r="AT29" s="27" t="s">
        <v>132</v>
      </c>
      <c r="AV29" s="27" t="s">
        <v>120</v>
      </c>
      <c r="AW29" t="s">
        <v>133</v>
      </c>
      <c r="AX29" t="s">
        <v>98</v>
      </c>
      <c r="AY29">
        <v>2025</v>
      </c>
      <c r="AZ29">
        <v>0</v>
      </c>
      <c r="BA29" t="s">
        <v>134</v>
      </c>
      <c r="BB29">
        <v>4181.72998046875</v>
      </c>
      <c r="BC29">
        <v>1</v>
      </c>
    </row>
    <row r="30" spans="1:55" x14ac:dyDescent="0.25">
      <c r="A30" t="s">
        <v>1</v>
      </c>
      <c r="B30" t="s">
        <v>74</v>
      </c>
      <c r="C30" t="s">
        <v>135</v>
      </c>
      <c r="D30" t="s">
        <v>27</v>
      </c>
      <c r="E30" t="s">
        <v>74</v>
      </c>
      <c r="F30"/>
      <c r="G30" t="s">
        <v>120</v>
      </c>
      <c r="H30" t="s">
        <v>77</v>
      </c>
      <c r="I30" t="s">
        <v>78</v>
      </c>
      <c r="J30" t="s">
        <v>79</v>
      </c>
      <c r="K30" t="s">
        <v>80</v>
      </c>
      <c r="L30" t="s">
        <v>81</v>
      </c>
      <c r="M30" t="s">
        <v>136</v>
      </c>
      <c r="N30" t="s">
        <v>137</v>
      </c>
      <c r="O30">
        <v>2</v>
      </c>
      <c r="P30" t="s">
        <v>84</v>
      </c>
      <c r="Q30" s="27" t="s">
        <v>138</v>
      </c>
      <c r="R30" t="s">
        <v>124</v>
      </c>
      <c r="S30" s="6">
        <v>0</v>
      </c>
      <c r="T30" s="6">
        <v>10385.9697265625</v>
      </c>
      <c r="U30" s="6">
        <v>10385.9697265625</v>
      </c>
      <c r="V30" s="6">
        <v>0</v>
      </c>
      <c r="W30" s="6">
        <v>0</v>
      </c>
      <c r="X30" s="6">
        <v>10385.9697265625</v>
      </c>
      <c r="Y30" s="6">
        <v>-10123.099609375</v>
      </c>
      <c r="Z30" s="6">
        <v>-27675.5</v>
      </c>
      <c r="AA30" s="6">
        <v>-18369.169921875</v>
      </c>
      <c r="AB30" s="6">
        <v>0</v>
      </c>
      <c r="AC30" s="6">
        <v>0</v>
      </c>
      <c r="AE30" t="s">
        <v>139</v>
      </c>
      <c r="AF30" t="s">
        <v>140</v>
      </c>
      <c r="AG30" t="s">
        <v>141</v>
      </c>
      <c r="AJ30"/>
      <c r="AL30"/>
      <c r="AM30" t="s">
        <v>90</v>
      </c>
      <c r="AN30" t="s">
        <v>142</v>
      </c>
      <c r="AO30" t="s">
        <v>143</v>
      </c>
      <c r="AP30" s="27" t="s">
        <v>144</v>
      </c>
      <c r="AQ30">
        <v>2025</v>
      </c>
      <c r="AR30" s="27" t="s">
        <v>145</v>
      </c>
      <c r="AS30" s="27" t="s">
        <v>146</v>
      </c>
      <c r="AT30" s="27" t="s">
        <v>147</v>
      </c>
      <c r="AV30" s="27" t="s">
        <v>120</v>
      </c>
      <c r="AW30" t="s">
        <v>148</v>
      </c>
      <c r="AX30" t="s">
        <v>98</v>
      </c>
      <c r="AY30">
        <v>2025</v>
      </c>
      <c r="AZ30">
        <v>0</v>
      </c>
      <c r="BA30" t="s">
        <v>149</v>
      </c>
      <c r="BB30">
        <v>10385.9697265625</v>
      </c>
      <c r="BC30">
        <v>1</v>
      </c>
    </row>
    <row r="31" spans="1:55" x14ac:dyDescent="0.25">
      <c r="A31" t="s">
        <v>1</v>
      </c>
      <c r="B31" t="s">
        <v>74</v>
      </c>
      <c r="C31" t="s">
        <v>150</v>
      </c>
      <c r="D31" t="s">
        <v>27</v>
      </c>
      <c r="E31" t="s">
        <v>74</v>
      </c>
      <c r="F31"/>
      <c r="G31" t="s">
        <v>120</v>
      </c>
      <c r="H31" t="s">
        <v>77</v>
      </c>
      <c r="I31" t="s">
        <v>78</v>
      </c>
      <c r="J31" t="s">
        <v>79</v>
      </c>
      <c r="K31" t="s">
        <v>80</v>
      </c>
      <c r="L31" t="s">
        <v>81</v>
      </c>
      <c r="M31" t="s">
        <v>151</v>
      </c>
      <c r="N31" t="s">
        <v>151</v>
      </c>
      <c r="O31">
        <v>0</v>
      </c>
      <c r="P31" t="s">
        <v>84</v>
      </c>
      <c r="Q31" s="27" t="s">
        <v>152</v>
      </c>
      <c r="R31" t="s">
        <v>124</v>
      </c>
      <c r="S31" s="6">
        <v>0</v>
      </c>
      <c r="T31" s="6">
        <v>0</v>
      </c>
      <c r="U31" s="6">
        <v>0</v>
      </c>
      <c r="V31" s="6">
        <v>0</v>
      </c>
      <c r="W31" s="6">
        <v>0</v>
      </c>
      <c r="X31" s="6">
        <v>0</v>
      </c>
      <c r="Y31" s="6">
        <v>0</v>
      </c>
      <c r="Z31" s="6">
        <v>0</v>
      </c>
      <c r="AA31" s="6">
        <v>0</v>
      </c>
      <c r="AB31" s="6">
        <v>0</v>
      </c>
      <c r="AC31" s="6">
        <v>0</v>
      </c>
      <c r="AE31" t="s">
        <v>153</v>
      </c>
      <c r="AF31" t="s">
        <v>154</v>
      </c>
      <c r="AG31" t="s">
        <v>155</v>
      </c>
      <c r="AJ31"/>
      <c r="AL31"/>
      <c r="AM31" t="s">
        <v>90</v>
      </c>
      <c r="AN31" t="s">
        <v>156</v>
      </c>
      <c r="AO31" t="s">
        <v>157</v>
      </c>
      <c r="AP31" s="27" t="s">
        <v>92</v>
      </c>
      <c r="AQ31">
        <v>2025</v>
      </c>
      <c r="AR31" s="27" t="s">
        <v>158</v>
      </c>
      <c r="AS31" s="27" t="s">
        <v>159</v>
      </c>
      <c r="AT31" s="27" t="s">
        <v>160</v>
      </c>
      <c r="AU31" s="27" t="s">
        <v>161</v>
      </c>
      <c r="AV31" s="27" t="s">
        <v>120</v>
      </c>
      <c r="AW31" t="s">
        <v>162</v>
      </c>
      <c r="AX31" t="s">
        <v>98</v>
      </c>
      <c r="AY31">
        <v>2025</v>
      </c>
      <c r="AZ31">
        <v>0</v>
      </c>
      <c r="BA31" t="s">
        <v>163</v>
      </c>
      <c r="BB31">
        <v>0</v>
      </c>
      <c r="BC31">
        <v>1</v>
      </c>
    </row>
    <row r="32" spans="1:55" x14ac:dyDescent="0.25">
      <c r="A32" t="s">
        <v>1</v>
      </c>
      <c r="B32" t="s">
        <v>74</v>
      </c>
      <c r="C32" t="s">
        <v>150</v>
      </c>
      <c r="D32" t="s">
        <v>164</v>
      </c>
      <c r="E32" t="s">
        <v>165</v>
      </c>
      <c r="F32"/>
      <c r="G32" t="s">
        <v>120</v>
      </c>
      <c r="H32" t="s">
        <v>77</v>
      </c>
      <c r="I32" t="s">
        <v>78</v>
      </c>
      <c r="J32" t="s">
        <v>79</v>
      </c>
      <c r="K32" t="s">
        <v>80</v>
      </c>
      <c r="L32" t="s">
        <v>81</v>
      </c>
      <c r="M32" t="s">
        <v>151</v>
      </c>
      <c r="N32" t="s">
        <v>151</v>
      </c>
      <c r="O32">
        <v>0</v>
      </c>
      <c r="P32" t="s">
        <v>84</v>
      </c>
      <c r="Q32" s="27" t="s">
        <v>152</v>
      </c>
      <c r="R32" t="s">
        <v>113</v>
      </c>
      <c r="S32" s="6">
        <v>0</v>
      </c>
      <c r="T32" s="6">
        <v>2048.5400390625</v>
      </c>
      <c r="U32" s="6">
        <v>2048.5400390625</v>
      </c>
      <c r="V32" s="6">
        <v>0</v>
      </c>
      <c r="W32" s="6">
        <v>0</v>
      </c>
      <c r="X32" s="6">
        <v>2048.5400390625</v>
      </c>
      <c r="Y32" s="6">
        <v>0</v>
      </c>
      <c r="Z32" s="6">
        <v>0</v>
      </c>
      <c r="AA32" s="6">
        <v>0</v>
      </c>
      <c r="AB32" s="6">
        <v>0</v>
      </c>
      <c r="AC32" s="6">
        <v>0</v>
      </c>
      <c r="AE32" t="s">
        <v>153</v>
      </c>
      <c r="AF32" t="s">
        <v>154</v>
      </c>
      <c r="AG32" t="s">
        <v>155</v>
      </c>
      <c r="AJ32"/>
      <c r="AL32"/>
      <c r="AM32" t="s">
        <v>90</v>
      </c>
      <c r="AN32" t="s">
        <v>156</v>
      </c>
      <c r="AO32" t="s">
        <v>157</v>
      </c>
      <c r="AQ32"/>
      <c r="AW32" t="s">
        <v>162</v>
      </c>
      <c r="AX32" t="s">
        <v>98</v>
      </c>
      <c r="AY32">
        <v>2025</v>
      </c>
      <c r="AZ32">
        <v>0</v>
      </c>
      <c r="BA32" t="s">
        <v>166</v>
      </c>
      <c r="BB32">
        <v>2048.5400390625</v>
      </c>
      <c r="BC32">
        <v>0</v>
      </c>
    </row>
    <row r="33" spans="1:55" x14ac:dyDescent="0.25">
      <c r="A33" t="s">
        <v>1</v>
      </c>
      <c r="B33" t="s">
        <v>74</v>
      </c>
      <c r="C33" t="s">
        <v>167</v>
      </c>
      <c r="D33" t="s">
        <v>27</v>
      </c>
      <c r="E33" t="s">
        <v>74</v>
      </c>
      <c r="F33"/>
      <c r="G33" t="s">
        <v>168</v>
      </c>
      <c r="H33" t="s">
        <v>77</v>
      </c>
      <c r="I33" t="s">
        <v>78</v>
      </c>
      <c r="J33" t="s">
        <v>79</v>
      </c>
      <c r="K33" t="s">
        <v>80</v>
      </c>
      <c r="L33" t="s">
        <v>81</v>
      </c>
      <c r="M33" t="s">
        <v>169</v>
      </c>
      <c r="N33" t="s">
        <v>170</v>
      </c>
      <c r="O33">
        <v>1</v>
      </c>
      <c r="P33" t="s">
        <v>171</v>
      </c>
      <c r="R33" t="s">
        <v>124</v>
      </c>
      <c r="S33" s="6">
        <v>0</v>
      </c>
      <c r="T33" s="6">
        <v>0</v>
      </c>
      <c r="U33" s="6">
        <v>0</v>
      </c>
      <c r="V33" s="6">
        <v>0</v>
      </c>
      <c r="W33" s="6">
        <v>0</v>
      </c>
      <c r="X33" s="6">
        <v>0</v>
      </c>
      <c r="Y33" s="6">
        <v>0</v>
      </c>
      <c r="Z33" s="6">
        <v>0</v>
      </c>
      <c r="AA33" s="6">
        <v>0</v>
      </c>
      <c r="AB33" s="6">
        <v>0</v>
      </c>
      <c r="AC33" s="6">
        <v>0</v>
      </c>
      <c r="AE33" t="s">
        <v>125</v>
      </c>
      <c r="AF33" t="s">
        <v>126</v>
      </c>
      <c r="AG33" t="s">
        <v>172</v>
      </c>
      <c r="AJ33"/>
      <c r="AL33"/>
      <c r="AM33" t="s">
        <v>90</v>
      </c>
      <c r="AN33" t="s">
        <v>91</v>
      </c>
      <c r="AO33" t="s">
        <v>173</v>
      </c>
      <c r="AP33" s="27" t="s">
        <v>92</v>
      </c>
      <c r="AQ33">
        <v>2024</v>
      </c>
      <c r="AR33" s="27" t="s">
        <v>130</v>
      </c>
      <c r="AS33" s="27" t="s">
        <v>131</v>
      </c>
      <c r="AV33" s="27" t="s">
        <v>168</v>
      </c>
      <c r="AW33" t="s">
        <v>117</v>
      </c>
      <c r="AX33" t="s">
        <v>98</v>
      </c>
      <c r="AY33">
        <v>2025</v>
      </c>
      <c r="AZ33">
        <v>0</v>
      </c>
      <c r="BA33" t="s">
        <v>174</v>
      </c>
      <c r="BB33">
        <v>0</v>
      </c>
      <c r="BC33">
        <v>1</v>
      </c>
    </row>
    <row r="34" spans="1:55" x14ac:dyDescent="0.25">
      <c r="A34" t="s">
        <v>1</v>
      </c>
      <c r="B34" t="s">
        <v>74</v>
      </c>
      <c r="C34" t="s">
        <v>305</v>
      </c>
      <c r="D34" t="s">
        <v>27</v>
      </c>
      <c r="E34" t="s">
        <v>306</v>
      </c>
      <c r="F34" t="s">
        <v>307</v>
      </c>
      <c r="G34" t="s">
        <v>120</v>
      </c>
      <c r="H34" t="s">
        <v>265</v>
      </c>
      <c r="I34" t="s">
        <v>266</v>
      </c>
      <c r="J34" t="s">
        <v>79</v>
      </c>
      <c r="K34" t="s">
        <v>80</v>
      </c>
      <c r="L34" t="s">
        <v>81</v>
      </c>
      <c r="M34" t="s">
        <v>308</v>
      </c>
      <c r="N34" t="s">
        <v>309</v>
      </c>
      <c r="O34">
        <v>19</v>
      </c>
      <c r="P34" t="s">
        <v>171</v>
      </c>
      <c r="Q34"/>
      <c r="R34" t="s">
        <v>310</v>
      </c>
      <c r="S34" s="6">
        <v>25000</v>
      </c>
      <c r="T34" s="6">
        <v>0</v>
      </c>
      <c r="U34" s="6">
        <v>25000</v>
      </c>
      <c r="V34" s="6">
        <v>5000</v>
      </c>
      <c r="W34" s="6">
        <v>0</v>
      </c>
      <c r="X34" s="6">
        <v>30000</v>
      </c>
      <c r="Y34" s="6">
        <v>0</v>
      </c>
      <c r="Z34" s="6">
        <v>0</v>
      </c>
      <c r="AA34" s="6">
        <v>0</v>
      </c>
      <c r="AB34" s="6">
        <v>0</v>
      </c>
      <c r="AC34" s="6">
        <v>0</v>
      </c>
      <c r="AE34" t="s">
        <v>282</v>
      </c>
      <c r="AF34" t="s">
        <v>311</v>
      </c>
      <c r="AG34" t="s">
        <v>312</v>
      </c>
      <c r="AJ34"/>
      <c r="AL34"/>
      <c r="AM34" t="s">
        <v>90</v>
      </c>
      <c r="AN34" t="s">
        <v>156</v>
      </c>
      <c r="AO34" t="s">
        <v>90</v>
      </c>
      <c r="AQ34"/>
      <c r="AW34" t="s">
        <v>313</v>
      </c>
      <c r="AX34" t="s">
        <v>275</v>
      </c>
      <c r="AY34">
        <v>2025</v>
      </c>
      <c r="AZ34">
        <v>0</v>
      </c>
      <c r="BA34" t="s">
        <v>314</v>
      </c>
      <c r="BB34">
        <v>25000</v>
      </c>
      <c r="BC34">
        <v>1</v>
      </c>
    </row>
    <row r="35" spans="1:55" x14ac:dyDescent="0.25">
      <c r="A35" t="s">
        <v>1</v>
      </c>
      <c r="B35" t="s">
        <v>74</v>
      </c>
      <c r="C35" t="s">
        <v>315</v>
      </c>
      <c r="D35" t="s">
        <v>27</v>
      </c>
      <c r="E35" t="s">
        <v>316</v>
      </c>
      <c r="F35" t="s">
        <v>307</v>
      </c>
      <c r="G35" t="s">
        <v>317</v>
      </c>
      <c r="H35" t="s">
        <v>265</v>
      </c>
      <c r="I35" t="s">
        <v>266</v>
      </c>
      <c r="J35" t="s">
        <v>79</v>
      </c>
      <c r="K35" t="s">
        <v>80</v>
      </c>
      <c r="L35" t="s">
        <v>81</v>
      </c>
      <c r="M35" t="s">
        <v>318</v>
      </c>
      <c r="N35" t="s">
        <v>319</v>
      </c>
      <c r="O35">
        <v>69</v>
      </c>
      <c r="P35" t="s">
        <v>171</v>
      </c>
      <c r="Q35"/>
      <c r="R35" t="s">
        <v>310</v>
      </c>
      <c r="S35" s="6">
        <v>99</v>
      </c>
      <c r="T35" s="6">
        <v>0</v>
      </c>
      <c r="U35" s="6">
        <v>99</v>
      </c>
      <c r="V35" s="6">
        <v>0</v>
      </c>
      <c r="W35" s="6">
        <v>0</v>
      </c>
      <c r="X35" s="6">
        <v>99</v>
      </c>
      <c r="Y35" s="6">
        <v>0</v>
      </c>
      <c r="Z35" s="6">
        <v>0</v>
      </c>
      <c r="AA35" s="6">
        <v>0</v>
      </c>
      <c r="AB35" s="6">
        <v>0</v>
      </c>
      <c r="AC35" s="6">
        <v>0</v>
      </c>
      <c r="AE35" t="s">
        <v>282</v>
      </c>
      <c r="AF35" t="s">
        <v>311</v>
      </c>
      <c r="AG35" t="s">
        <v>312</v>
      </c>
      <c r="AJ35"/>
      <c r="AL35"/>
      <c r="AM35" t="s">
        <v>90</v>
      </c>
      <c r="AN35" t="s">
        <v>128</v>
      </c>
      <c r="AO35" t="s">
        <v>90</v>
      </c>
      <c r="AQ35"/>
      <c r="AW35" t="s">
        <v>313</v>
      </c>
      <c r="AX35" t="s">
        <v>275</v>
      </c>
      <c r="AY35">
        <v>2025</v>
      </c>
      <c r="AZ35">
        <v>0</v>
      </c>
      <c r="BA35" t="s">
        <v>320</v>
      </c>
      <c r="BB35">
        <v>99</v>
      </c>
      <c r="BC35">
        <v>1</v>
      </c>
    </row>
    <row r="36" spans="1:55" x14ac:dyDescent="0.25">
      <c r="A36" t="s">
        <v>1</v>
      </c>
      <c r="B36" t="s">
        <v>74</v>
      </c>
      <c r="C36" t="s">
        <v>175</v>
      </c>
      <c r="D36" t="s">
        <v>27</v>
      </c>
      <c r="E36" t="s">
        <v>74</v>
      </c>
      <c r="F36"/>
      <c r="G36" t="s">
        <v>120</v>
      </c>
      <c r="H36" t="s">
        <v>77</v>
      </c>
      <c r="I36" t="s">
        <v>78</v>
      </c>
      <c r="J36" t="s">
        <v>79</v>
      </c>
      <c r="K36" t="s">
        <v>80</v>
      </c>
      <c r="L36" t="s">
        <v>81</v>
      </c>
      <c r="M36" t="s">
        <v>176</v>
      </c>
      <c r="N36" t="s">
        <v>177</v>
      </c>
      <c r="O36">
        <v>4</v>
      </c>
      <c r="P36" t="s">
        <v>171</v>
      </c>
      <c r="Q36"/>
      <c r="R36" t="s">
        <v>124</v>
      </c>
      <c r="S36" s="6">
        <v>0</v>
      </c>
      <c r="T36" s="6">
        <v>401.42001342773438</v>
      </c>
      <c r="U36" s="6">
        <v>401.42001342773438</v>
      </c>
      <c r="V36" s="6">
        <v>0</v>
      </c>
      <c r="W36" s="6">
        <v>0</v>
      </c>
      <c r="X36" s="6">
        <v>401.42001342773438</v>
      </c>
      <c r="Y36" s="6">
        <v>0</v>
      </c>
      <c r="Z36" s="6">
        <v>0</v>
      </c>
      <c r="AA36" s="6">
        <v>0</v>
      </c>
      <c r="AB36" s="6">
        <v>0</v>
      </c>
      <c r="AC36" s="6">
        <v>0</v>
      </c>
      <c r="AE36" t="s">
        <v>178</v>
      </c>
      <c r="AF36" t="s">
        <v>179</v>
      </c>
      <c r="AG36" t="s">
        <v>180</v>
      </c>
      <c r="AJ36"/>
      <c r="AL36"/>
      <c r="AM36" t="s">
        <v>90</v>
      </c>
      <c r="AN36" t="s">
        <v>156</v>
      </c>
      <c r="AO36" t="s">
        <v>181</v>
      </c>
      <c r="AP36" s="27" t="s">
        <v>92</v>
      </c>
      <c r="AQ36">
        <v>2025</v>
      </c>
      <c r="AR36" s="27" t="s">
        <v>145</v>
      </c>
      <c r="AS36" s="27" t="s">
        <v>159</v>
      </c>
      <c r="AT36" s="27" t="s">
        <v>182</v>
      </c>
      <c r="AU36" s="27" t="s">
        <v>183</v>
      </c>
      <c r="AV36" s="27" t="s">
        <v>120</v>
      </c>
      <c r="AW36" t="s">
        <v>184</v>
      </c>
      <c r="AX36" t="s">
        <v>98</v>
      </c>
      <c r="AY36">
        <v>2025</v>
      </c>
      <c r="AZ36">
        <v>0</v>
      </c>
      <c r="BA36" t="s">
        <v>185</v>
      </c>
      <c r="BB36">
        <v>401.42001342773438</v>
      </c>
      <c r="BC36">
        <v>1</v>
      </c>
    </row>
    <row r="37" spans="1:55" x14ac:dyDescent="0.25">
      <c r="A37" t="s">
        <v>1</v>
      </c>
      <c r="B37" t="s">
        <v>74</v>
      </c>
      <c r="C37" t="s">
        <v>175</v>
      </c>
      <c r="D37" t="s">
        <v>164</v>
      </c>
      <c r="E37" t="s">
        <v>186</v>
      </c>
      <c r="F37"/>
      <c r="G37" t="s">
        <v>120</v>
      </c>
      <c r="H37" t="s">
        <v>77</v>
      </c>
      <c r="I37" t="s">
        <v>78</v>
      </c>
      <c r="J37" t="s">
        <v>79</v>
      </c>
      <c r="K37" t="s">
        <v>80</v>
      </c>
      <c r="L37" t="s">
        <v>81</v>
      </c>
      <c r="M37" t="s">
        <v>176</v>
      </c>
      <c r="N37" t="s">
        <v>177</v>
      </c>
      <c r="O37">
        <v>4</v>
      </c>
      <c r="P37" t="s">
        <v>171</v>
      </c>
      <c r="Q37"/>
      <c r="R37" t="s">
        <v>113</v>
      </c>
      <c r="S37" s="6">
        <v>0</v>
      </c>
      <c r="T37" s="6">
        <v>0</v>
      </c>
      <c r="U37" s="6">
        <v>0</v>
      </c>
      <c r="V37" s="6">
        <v>0</v>
      </c>
      <c r="W37" s="6">
        <v>0</v>
      </c>
      <c r="X37" s="6">
        <v>0</v>
      </c>
      <c r="Y37" s="6">
        <v>0</v>
      </c>
      <c r="Z37" s="6">
        <v>0</v>
      </c>
      <c r="AA37" s="6">
        <v>0</v>
      </c>
      <c r="AB37" s="6">
        <v>0</v>
      </c>
      <c r="AC37" s="6">
        <v>0</v>
      </c>
      <c r="AE37" t="s">
        <v>178</v>
      </c>
      <c r="AF37" t="s">
        <v>179</v>
      </c>
      <c r="AG37" t="s">
        <v>180</v>
      </c>
      <c r="AJ37"/>
      <c r="AL37"/>
      <c r="AM37" t="s">
        <v>90</v>
      </c>
      <c r="AN37" t="s">
        <v>156</v>
      </c>
      <c r="AO37" t="s">
        <v>181</v>
      </c>
      <c r="AQ37"/>
      <c r="AW37" t="s">
        <v>162</v>
      </c>
      <c r="AX37" t="s">
        <v>98</v>
      </c>
      <c r="AY37">
        <v>2025</v>
      </c>
      <c r="AZ37">
        <v>0</v>
      </c>
      <c r="BA37" t="s">
        <v>187</v>
      </c>
      <c r="BB37">
        <v>0</v>
      </c>
      <c r="BC37">
        <v>0</v>
      </c>
    </row>
    <row r="38" spans="1:55" x14ac:dyDescent="0.25">
      <c r="A38" t="s">
        <v>1</v>
      </c>
      <c r="B38" t="s">
        <v>74</v>
      </c>
      <c r="C38" t="s">
        <v>188</v>
      </c>
      <c r="D38" t="s">
        <v>27</v>
      </c>
      <c r="E38" t="s">
        <v>74</v>
      </c>
      <c r="F38"/>
      <c r="G38" t="s">
        <v>189</v>
      </c>
      <c r="H38" t="s">
        <v>77</v>
      </c>
      <c r="I38" t="s">
        <v>78</v>
      </c>
      <c r="J38" t="s">
        <v>79</v>
      </c>
      <c r="K38" t="s">
        <v>80</v>
      </c>
      <c r="L38" t="s">
        <v>81</v>
      </c>
      <c r="M38" t="s">
        <v>190</v>
      </c>
      <c r="N38" t="s">
        <v>177</v>
      </c>
      <c r="O38">
        <v>6</v>
      </c>
      <c r="P38" t="s">
        <v>84</v>
      </c>
      <c r="Q38" t="s">
        <v>103</v>
      </c>
      <c r="R38" t="s">
        <v>124</v>
      </c>
      <c r="S38" s="6">
        <v>0</v>
      </c>
      <c r="T38" s="6">
        <v>0</v>
      </c>
      <c r="U38" s="6">
        <v>0</v>
      </c>
      <c r="V38" s="6">
        <v>0</v>
      </c>
      <c r="W38" s="6">
        <v>0</v>
      </c>
      <c r="X38" s="6">
        <v>0</v>
      </c>
      <c r="Y38" s="6">
        <v>0</v>
      </c>
      <c r="Z38" s="6">
        <v>0</v>
      </c>
      <c r="AA38" s="6">
        <v>0</v>
      </c>
      <c r="AB38" s="6">
        <v>0</v>
      </c>
      <c r="AC38" s="6">
        <v>0</v>
      </c>
      <c r="AE38" t="s">
        <v>191</v>
      </c>
      <c r="AF38" t="s">
        <v>192</v>
      </c>
      <c r="AG38" t="s">
        <v>193</v>
      </c>
      <c r="AJ38"/>
      <c r="AL38"/>
      <c r="AM38" t="s">
        <v>90</v>
      </c>
      <c r="AN38" t="s">
        <v>142</v>
      </c>
      <c r="AO38" t="s">
        <v>194</v>
      </c>
      <c r="AP38" s="27" t="s">
        <v>92</v>
      </c>
      <c r="AQ38">
        <v>2025</v>
      </c>
      <c r="AR38" s="27" t="s">
        <v>145</v>
      </c>
      <c r="AS38" s="27" t="s">
        <v>159</v>
      </c>
      <c r="AT38" s="27" t="s">
        <v>195</v>
      </c>
      <c r="AW38" t="s">
        <v>184</v>
      </c>
      <c r="AX38" t="s">
        <v>98</v>
      </c>
      <c r="AY38">
        <v>2025</v>
      </c>
      <c r="AZ38">
        <v>0</v>
      </c>
      <c r="BA38" t="s">
        <v>196</v>
      </c>
      <c r="BB38">
        <v>0</v>
      </c>
      <c r="BC38">
        <v>1</v>
      </c>
    </row>
    <row r="39" spans="1:55" x14ac:dyDescent="0.25">
      <c r="A39" t="s">
        <v>1</v>
      </c>
      <c r="B39" t="s">
        <v>74</v>
      </c>
      <c r="C39" t="s">
        <v>188</v>
      </c>
      <c r="D39" t="s">
        <v>164</v>
      </c>
      <c r="E39" t="s">
        <v>197</v>
      </c>
      <c r="F39"/>
      <c r="G39" t="s">
        <v>189</v>
      </c>
      <c r="H39" t="s">
        <v>77</v>
      </c>
      <c r="I39" t="s">
        <v>78</v>
      </c>
      <c r="J39" t="s">
        <v>79</v>
      </c>
      <c r="K39" t="s">
        <v>80</v>
      </c>
      <c r="L39" t="s">
        <v>81</v>
      </c>
      <c r="M39" t="s">
        <v>190</v>
      </c>
      <c r="N39" t="s">
        <v>177</v>
      </c>
      <c r="O39">
        <v>6</v>
      </c>
      <c r="P39" t="s">
        <v>84</v>
      </c>
      <c r="Q39" t="s">
        <v>103</v>
      </c>
      <c r="R39" t="s">
        <v>113</v>
      </c>
      <c r="S39" s="6">
        <v>0</v>
      </c>
      <c r="T39" s="6">
        <v>2042.859985351562</v>
      </c>
      <c r="U39" s="6">
        <v>2042.859985351562</v>
      </c>
      <c r="V39" s="6">
        <v>0</v>
      </c>
      <c r="W39" s="6">
        <v>0</v>
      </c>
      <c r="X39" s="6">
        <v>2042.859985351562</v>
      </c>
      <c r="Y39" s="6">
        <v>0</v>
      </c>
      <c r="Z39" s="6">
        <v>0</v>
      </c>
      <c r="AA39" s="6">
        <v>0</v>
      </c>
      <c r="AB39" s="6">
        <v>0</v>
      </c>
      <c r="AC39" s="6">
        <v>0</v>
      </c>
      <c r="AE39" t="s">
        <v>191</v>
      </c>
      <c r="AF39" t="s">
        <v>192</v>
      </c>
      <c r="AG39" t="s">
        <v>193</v>
      </c>
      <c r="AJ39"/>
      <c r="AL39"/>
      <c r="AM39" t="s">
        <v>90</v>
      </c>
      <c r="AN39" t="s">
        <v>142</v>
      </c>
      <c r="AO39" t="s">
        <v>194</v>
      </c>
      <c r="AQ39"/>
      <c r="AW39" t="s">
        <v>184</v>
      </c>
      <c r="AX39" t="s">
        <v>98</v>
      </c>
      <c r="AY39">
        <v>2025</v>
      </c>
      <c r="AZ39">
        <v>0</v>
      </c>
      <c r="BA39" t="s">
        <v>198</v>
      </c>
      <c r="BB39">
        <v>2042.859985351562</v>
      </c>
      <c r="BC39">
        <v>0</v>
      </c>
    </row>
    <row r="40" spans="1:55" x14ac:dyDescent="0.25">
      <c r="A40" t="s">
        <v>1</v>
      </c>
      <c r="B40" t="s">
        <v>74</v>
      </c>
      <c r="C40" t="s">
        <v>262</v>
      </c>
      <c r="D40" t="s">
        <v>27</v>
      </c>
      <c r="E40" t="s">
        <v>263</v>
      </c>
      <c r="F40"/>
      <c r="G40" t="s">
        <v>264</v>
      </c>
      <c r="H40" t="s">
        <v>265</v>
      </c>
      <c r="I40" t="s">
        <v>266</v>
      </c>
      <c r="J40" t="s">
        <v>79</v>
      </c>
      <c r="K40" t="s">
        <v>80</v>
      </c>
      <c r="L40" t="s">
        <v>81</v>
      </c>
      <c r="M40" t="s">
        <v>267</v>
      </c>
      <c r="N40" t="s">
        <v>268</v>
      </c>
      <c r="O40">
        <v>14</v>
      </c>
      <c r="P40" t="s">
        <v>84</v>
      </c>
      <c r="Q40" t="s">
        <v>269</v>
      </c>
      <c r="R40" t="s">
        <v>270</v>
      </c>
      <c r="S40" s="6">
        <v>0</v>
      </c>
      <c r="T40" s="6">
        <v>4683.509765625</v>
      </c>
      <c r="U40" s="6">
        <v>4683.509765625</v>
      </c>
      <c r="V40" s="6">
        <v>0</v>
      </c>
      <c r="W40" s="6">
        <v>0</v>
      </c>
      <c r="X40" s="6">
        <v>4683.509765625</v>
      </c>
      <c r="Y40" s="6">
        <v>0</v>
      </c>
      <c r="Z40" s="6">
        <v>0</v>
      </c>
      <c r="AA40" s="6">
        <v>0</v>
      </c>
      <c r="AB40" s="6">
        <v>0</v>
      </c>
      <c r="AC40" s="6">
        <v>0</v>
      </c>
      <c r="AE40" t="s">
        <v>271</v>
      </c>
      <c r="AF40" t="s">
        <v>272</v>
      </c>
      <c r="AG40" t="s">
        <v>273</v>
      </c>
      <c r="AJ40"/>
      <c r="AL40"/>
      <c r="AM40" t="s">
        <v>90</v>
      </c>
      <c r="AN40" t="s">
        <v>91</v>
      </c>
      <c r="AO40" t="s">
        <v>90</v>
      </c>
      <c r="AQ40"/>
      <c r="AW40" t="s">
        <v>274</v>
      </c>
      <c r="AX40" t="s">
        <v>275</v>
      </c>
      <c r="AY40">
        <v>2025</v>
      </c>
      <c r="AZ40">
        <v>0</v>
      </c>
      <c r="BA40" t="s">
        <v>276</v>
      </c>
      <c r="BB40">
        <v>4683.509765625</v>
      </c>
      <c r="BC40">
        <v>1</v>
      </c>
    </row>
    <row r="41" spans="1:55" x14ac:dyDescent="0.25">
      <c r="A41" t="s">
        <v>1</v>
      </c>
      <c r="B41" t="s">
        <v>74</v>
      </c>
      <c r="C41" t="s">
        <v>199</v>
      </c>
      <c r="D41" t="s">
        <v>27</v>
      </c>
      <c r="E41" t="s">
        <v>74</v>
      </c>
      <c r="F41"/>
      <c r="G41" t="s">
        <v>76</v>
      </c>
      <c r="H41" t="s">
        <v>77</v>
      </c>
      <c r="I41" t="s">
        <v>78</v>
      </c>
      <c r="J41" t="s">
        <v>79</v>
      </c>
      <c r="K41" t="s">
        <v>80</v>
      </c>
      <c r="L41" t="s">
        <v>81</v>
      </c>
      <c r="M41" t="s">
        <v>200</v>
      </c>
      <c r="N41" t="s">
        <v>201</v>
      </c>
      <c r="O41">
        <v>2</v>
      </c>
      <c r="P41" t="s">
        <v>171</v>
      </c>
      <c r="Q41"/>
      <c r="R41" t="s">
        <v>124</v>
      </c>
      <c r="S41" s="6">
        <v>2700</v>
      </c>
      <c r="T41" s="6">
        <v>0</v>
      </c>
      <c r="U41" s="6">
        <v>2700</v>
      </c>
      <c r="V41" s="6">
        <v>0</v>
      </c>
      <c r="W41" s="6">
        <v>8.25</v>
      </c>
      <c r="X41" s="6">
        <v>2708.25</v>
      </c>
      <c r="Y41" s="6">
        <v>0</v>
      </c>
      <c r="Z41" s="6">
        <v>0</v>
      </c>
      <c r="AA41" s="6">
        <v>0</v>
      </c>
      <c r="AB41" s="6">
        <v>0</v>
      </c>
      <c r="AC41" s="6">
        <v>0</v>
      </c>
      <c r="AE41" t="s">
        <v>202</v>
      </c>
      <c r="AF41" t="s">
        <v>203</v>
      </c>
      <c r="AG41" t="s">
        <v>89</v>
      </c>
      <c r="AJ41"/>
      <c r="AL41"/>
      <c r="AM41" t="s">
        <v>90</v>
      </c>
      <c r="AN41" t="s">
        <v>128</v>
      </c>
      <c r="AO41" t="s">
        <v>204</v>
      </c>
      <c r="AP41" s="27" t="s">
        <v>92</v>
      </c>
      <c r="AQ41">
        <v>2024</v>
      </c>
      <c r="AR41" s="27" t="s">
        <v>205</v>
      </c>
      <c r="AS41" s="27" t="s">
        <v>206</v>
      </c>
      <c r="AT41" s="27" t="s">
        <v>207</v>
      </c>
      <c r="AU41" s="27" t="s">
        <v>208</v>
      </c>
      <c r="AV41" s="27" t="s">
        <v>76</v>
      </c>
      <c r="AW41" t="s">
        <v>184</v>
      </c>
      <c r="AX41" t="s">
        <v>98</v>
      </c>
      <c r="AY41">
        <v>2025</v>
      </c>
      <c r="AZ41">
        <v>0</v>
      </c>
      <c r="BA41" t="s">
        <v>209</v>
      </c>
      <c r="BB41">
        <v>2700</v>
      </c>
      <c r="BC41">
        <v>1</v>
      </c>
    </row>
    <row r="42" spans="1:55" x14ac:dyDescent="0.25">
      <c r="A42" t="s">
        <v>1</v>
      </c>
      <c r="B42" t="s">
        <v>74</v>
      </c>
      <c r="C42" t="s">
        <v>199</v>
      </c>
      <c r="D42" t="s">
        <v>164</v>
      </c>
      <c r="E42" t="s">
        <v>210</v>
      </c>
      <c r="F42"/>
      <c r="G42" t="s">
        <v>76</v>
      </c>
      <c r="H42" t="s">
        <v>77</v>
      </c>
      <c r="I42" t="s">
        <v>78</v>
      </c>
      <c r="J42" t="s">
        <v>79</v>
      </c>
      <c r="K42" t="s">
        <v>80</v>
      </c>
      <c r="L42" t="s">
        <v>81</v>
      </c>
      <c r="M42" t="s">
        <v>200</v>
      </c>
      <c r="N42" t="s">
        <v>201</v>
      </c>
      <c r="O42">
        <v>2</v>
      </c>
      <c r="P42" t="s">
        <v>171</v>
      </c>
      <c r="Q42"/>
      <c r="R42" t="s">
        <v>113</v>
      </c>
      <c r="S42" s="6">
        <v>0</v>
      </c>
      <c r="T42" s="6">
        <v>5283.8701171875</v>
      </c>
      <c r="U42" s="6">
        <v>5283.8701171875</v>
      </c>
      <c r="V42" s="6">
        <v>0</v>
      </c>
      <c r="W42" s="6">
        <v>0</v>
      </c>
      <c r="X42" s="6">
        <v>5283.8701171875</v>
      </c>
      <c r="Y42" s="6">
        <v>0</v>
      </c>
      <c r="Z42" s="6">
        <v>0</v>
      </c>
      <c r="AA42" s="6">
        <v>0</v>
      </c>
      <c r="AB42" s="6">
        <v>0</v>
      </c>
      <c r="AC42" s="6">
        <v>0</v>
      </c>
      <c r="AE42" t="s">
        <v>202</v>
      </c>
      <c r="AF42" t="s">
        <v>203</v>
      </c>
      <c r="AG42" t="s">
        <v>89</v>
      </c>
      <c r="AJ42"/>
      <c r="AL42"/>
      <c r="AM42" t="s">
        <v>90</v>
      </c>
      <c r="AN42" t="s">
        <v>128</v>
      </c>
      <c r="AO42" t="s">
        <v>204</v>
      </c>
      <c r="AQ42"/>
      <c r="AW42" t="s">
        <v>184</v>
      </c>
      <c r="AX42" t="s">
        <v>98</v>
      </c>
      <c r="AY42">
        <v>2025</v>
      </c>
      <c r="AZ42">
        <v>0</v>
      </c>
      <c r="BA42" t="s">
        <v>211</v>
      </c>
      <c r="BB42">
        <v>5283.8701171875</v>
      </c>
      <c r="BC42">
        <v>0</v>
      </c>
    </row>
    <row r="43" spans="1:55" x14ac:dyDescent="0.25">
      <c r="A43" t="s">
        <v>1</v>
      </c>
      <c r="B43" t="s">
        <v>74</v>
      </c>
      <c r="C43" t="s">
        <v>199</v>
      </c>
      <c r="D43" t="s">
        <v>212</v>
      </c>
      <c r="E43" t="s">
        <v>210</v>
      </c>
      <c r="F43"/>
      <c r="G43" t="s">
        <v>76</v>
      </c>
      <c r="H43" t="s">
        <v>77</v>
      </c>
      <c r="I43" t="s">
        <v>78</v>
      </c>
      <c r="J43" t="s">
        <v>79</v>
      </c>
      <c r="K43" t="s">
        <v>80</v>
      </c>
      <c r="L43" t="s">
        <v>81</v>
      </c>
      <c r="M43" t="s">
        <v>200</v>
      </c>
      <c r="N43" t="s">
        <v>201</v>
      </c>
      <c r="O43">
        <v>2</v>
      </c>
      <c r="P43" t="s">
        <v>171</v>
      </c>
      <c r="Q43"/>
      <c r="R43" t="s">
        <v>213</v>
      </c>
      <c r="S43" s="6">
        <v>7500</v>
      </c>
      <c r="T43" s="6">
        <v>0</v>
      </c>
      <c r="U43" s="6">
        <v>7500</v>
      </c>
      <c r="V43" s="6">
        <v>0</v>
      </c>
      <c r="W43" s="6">
        <v>0</v>
      </c>
      <c r="X43" s="6">
        <v>7500</v>
      </c>
      <c r="Y43" s="6">
        <v>0</v>
      </c>
      <c r="Z43" s="6">
        <v>0</v>
      </c>
      <c r="AA43" s="6">
        <v>0</v>
      </c>
      <c r="AB43" s="6">
        <v>0</v>
      </c>
      <c r="AC43" s="6">
        <v>0</v>
      </c>
      <c r="AE43" t="s">
        <v>202</v>
      </c>
      <c r="AF43" t="s">
        <v>203</v>
      </c>
      <c r="AG43" t="s">
        <v>89</v>
      </c>
      <c r="AJ43"/>
      <c r="AL43"/>
      <c r="AM43" t="s">
        <v>90</v>
      </c>
      <c r="AN43" t="s">
        <v>128</v>
      </c>
      <c r="AO43" t="s">
        <v>204</v>
      </c>
      <c r="AQ43"/>
      <c r="AW43" t="s">
        <v>214</v>
      </c>
      <c r="AX43" t="s">
        <v>98</v>
      </c>
      <c r="AY43">
        <v>2025</v>
      </c>
      <c r="AZ43">
        <v>0</v>
      </c>
      <c r="BA43" t="s">
        <v>215</v>
      </c>
      <c r="BB43">
        <v>7500</v>
      </c>
      <c r="BC43">
        <v>0</v>
      </c>
    </row>
    <row r="44" spans="1:55" x14ac:dyDescent="0.25">
      <c r="A44" t="s">
        <v>1</v>
      </c>
      <c r="B44" t="s">
        <v>74</v>
      </c>
      <c r="C44" t="s">
        <v>216</v>
      </c>
      <c r="D44" t="s">
        <v>27</v>
      </c>
      <c r="E44" t="s">
        <v>74</v>
      </c>
      <c r="F44"/>
      <c r="G44" t="s">
        <v>217</v>
      </c>
      <c r="H44" t="s">
        <v>77</v>
      </c>
      <c r="I44" t="s">
        <v>78</v>
      </c>
      <c r="J44" t="s">
        <v>79</v>
      </c>
      <c r="K44" t="s">
        <v>80</v>
      </c>
      <c r="L44" t="s">
        <v>81</v>
      </c>
      <c r="M44" t="s">
        <v>200</v>
      </c>
      <c r="N44" t="s">
        <v>218</v>
      </c>
      <c r="O44">
        <v>7</v>
      </c>
      <c r="P44" t="s">
        <v>171</v>
      </c>
      <c r="Q44"/>
      <c r="R44" t="s">
        <v>124</v>
      </c>
      <c r="S44" s="6">
        <v>2700</v>
      </c>
      <c r="T44" s="6">
        <v>0</v>
      </c>
      <c r="U44" s="6">
        <v>2700</v>
      </c>
      <c r="V44" s="6">
        <v>0</v>
      </c>
      <c r="W44" s="6">
        <v>0</v>
      </c>
      <c r="X44" s="6">
        <v>2700</v>
      </c>
      <c r="Y44" s="6">
        <v>0</v>
      </c>
      <c r="Z44" s="6">
        <v>0</v>
      </c>
      <c r="AA44" s="6">
        <v>0</v>
      </c>
      <c r="AB44" s="6">
        <v>0</v>
      </c>
      <c r="AC44" s="6">
        <v>0</v>
      </c>
      <c r="AE44" t="s">
        <v>219</v>
      </c>
      <c r="AF44" t="s">
        <v>220</v>
      </c>
      <c r="AG44" t="s">
        <v>89</v>
      </c>
      <c r="AJ44"/>
      <c r="AL44"/>
      <c r="AM44" t="s">
        <v>90</v>
      </c>
      <c r="AN44" t="s">
        <v>128</v>
      </c>
      <c r="AO44" t="s">
        <v>221</v>
      </c>
      <c r="AP44" s="27" t="s">
        <v>92</v>
      </c>
      <c r="AQ44">
        <v>2025</v>
      </c>
      <c r="AR44" s="27" t="s">
        <v>205</v>
      </c>
      <c r="AS44" s="27" t="s">
        <v>206</v>
      </c>
      <c r="AT44" s="27" t="s">
        <v>222</v>
      </c>
      <c r="AV44" s="27" t="s">
        <v>217</v>
      </c>
      <c r="AW44" t="s">
        <v>223</v>
      </c>
      <c r="AX44" t="s">
        <v>98</v>
      </c>
      <c r="AY44">
        <v>2025</v>
      </c>
      <c r="AZ44">
        <v>0</v>
      </c>
      <c r="BA44" t="s">
        <v>224</v>
      </c>
      <c r="BB44">
        <v>2700</v>
      </c>
      <c r="BC44">
        <v>1</v>
      </c>
    </row>
    <row r="45" spans="1:55" x14ac:dyDescent="0.25">
      <c r="A45" t="s">
        <v>1</v>
      </c>
      <c r="B45" t="s">
        <v>74</v>
      </c>
      <c r="C45" t="s">
        <v>216</v>
      </c>
      <c r="D45" t="s">
        <v>164</v>
      </c>
      <c r="E45" t="s">
        <v>225</v>
      </c>
      <c r="F45"/>
      <c r="G45" t="s">
        <v>217</v>
      </c>
      <c r="H45" t="s">
        <v>77</v>
      </c>
      <c r="I45" t="s">
        <v>78</v>
      </c>
      <c r="J45" t="s">
        <v>79</v>
      </c>
      <c r="K45" t="s">
        <v>80</v>
      </c>
      <c r="L45" t="s">
        <v>81</v>
      </c>
      <c r="M45" t="s">
        <v>200</v>
      </c>
      <c r="N45" t="s">
        <v>218</v>
      </c>
      <c r="O45">
        <v>7</v>
      </c>
      <c r="P45" t="s">
        <v>171</v>
      </c>
      <c r="Q45"/>
      <c r="R45" t="s">
        <v>113</v>
      </c>
      <c r="S45" s="6">
        <v>0</v>
      </c>
      <c r="T45" s="6">
        <v>0</v>
      </c>
      <c r="U45" s="6">
        <v>0</v>
      </c>
      <c r="V45" s="6">
        <v>0</v>
      </c>
      <c r="W45" s="6">
        <v>0</v>
      </c>
      <c r="X45" s="6">
        <v>0</v>
      </c>
      <c r="Y45" s="6">
        <v>0</v>
      </c>
      <c r="Z45" s="6">
        <v>0</v>
      </c>
      <c r="AA45" s="6">
        <v>0</v>
      </c>
      <c r="AB45" s="6">
        <v>0</v>
      </c>
      <c r="AC45" s="6">
        <v>0</v>
      </c>
      <c r="AE45" t="s">
        <v>219</v>
      </c>
      <c r="AF45" t="s">
        <v>220</v>
      </c>
      <c r="AG45" t="s">
        <v>89</v>
      </c>
      <c r="AJ45"/>
      <c r="AL45"/>
      <c r="AM45" t="s">
        <v>90</v>
      </c>
      <c r="AN45" t="s">
        <v>128</v>
      </c>
      <c r="AO45" t="s">
        <v>90</v>
      </c>
      <c r="AQ45"/>
      <c r="AW45" t="s">
        <v>184</v>
      </c>
      <c r="AX45" t="s">
        <v>98</v>
      </c>
      <c r="AY45">
        <v>2025</v>
      </c>
      <c r="AZ45">
        <v>0</v>
      </c>
      <c r="BA45" t="s">
        <v>226</v>
      </c>
      <c r="BB45">
        <v>0</v>
      </c>
      <c r="BC45">
        <v>0</v>
      </c>
    </row>
    <row r="46" spans="1:55" x14ac:dyDescent="0.25">
      <c r="A46" t="s">
        <v>1</v>
      </c>
      <c r="B46" t="s">
        <v>74</v>
      </c>
      <c r="C46" t="s">
        <v>216</v>
      </c>
      <c r="D46" t="s">
        <v>212</v>
      </c>
      <c r="E46" t="s">
        <v>227</v>
      </c>
      <c r="F46"/>
      <c r="G46" t="s">
        <v>217</v>
      </c>
      <c r="H46" t="s">
        <v>77</v>
      </c>
      <c r="I46" t="s">
        <v>78</v>
      </c>
      <c r="J46" t="s">
        <v>79</v>
      </c>
      <c r="K46" t="s">
        <v>80</v>
      </c>
      <c r="L46" t="s">
        <v>81</v>
      </c>
      <c r="M46" t="s">
        <v>200</v>
      </c>
      <c r="N46" t="s">
        <v>218</v>
      </c>
      <c r="O46">
        <v>7</v>
      </c>
      <c r="P46" t="s">
        <v>171</v>
      </c>
      <c r="R46" t="s">
        <v>113</v>
      </c>
      <c r="S46" s="6">
        <v>0</v>
      </c>
      <c r="T46" s="6">
        <v>0</v>
      </c>
      <c r="U46" s="6">
        <v>0</v>
      </c>
      <c r="V46" s="6">
        <v>0</v>
      </c>
      <c r="W46" s="6">
        <v>0</v>
      </c>
      <c r="X46" s="6">
        <v>0</v>
      </c>
      <c r="Y46" s="6">
        <v>0</v>
      </c>
      <c r="Z46" s="6">
        <v>0</v>
      </c>
      <c r="AA46" s="6">
        <v>0</v>
      </c>
      <c r="AB46" s="6">
        <v>0</v>
      </c>
      <c r="AC46" s="6">
        <v>0</v>
      </c>
      <c r="AE46" t="s">
        <v>219</v>
      </c>
      <c r="AF46" t="s">
        <v>220</v>
      </c>
      <c r="AG46" t="s">
        <v>89</v>
      </c>
      <c r="AJ46"/>
      <c r="AL46"/>
      <c r="AM46" t="s">
        <v>90</v>
      </c>
      <c r="AN46" t="s">
        <v>128</v>
      </c>
      <c r="AO46" t="s">
        <v>90</v>
      </c>
      <c r="AQ46"/>
      <c r="AW46" t="s">
        <v>184</v>
      </c>
      <c r="AX46" t="s">
        <v>98</v>
      </c>
      <c r="AY46">
        <v>2025</v>
      </c>
      <c r="AZ46">
        <v>0</v>
      </c>
      <c r="BA46" t="s">
        <v>228</v>
      </c>
      <c r="BB46">
        <v>0</v>
      </c>
      <c r="BC46">
        <v>0</v>
      </c>
    </row>
    <row r="47" spans="1:55" x14ac:dyDescent="0.25">
      <c r="A47" t="s">
        <v>1</v>
      </c>
      <c r="B47" t="s">
        <v>74</v>
      </c>
      <c r="C47" t="s">
        <v>216</v>
      </c>
      <c r="D47" t="s">
        <v>229</v>
      </c>
      <c r="E47" t="s">
        <v>225</v>
      </c>
      <c r="F47"/>
      <c r="G47" t="s">
        <v>217</v>
      </c>
      <c r="H47" t="s">
        <v>77</v>
      </c>
      <c r="I47" t="s">
        <v>78</v>
      </c>
      <c r="J47" t="s">
        <v>79</v>
      </c>
      <c r="K47" t="s">
        <v>80</v>
      </c>
      <c r="L47" t="s">
        <v>81</v>
      </c>
      <c r="M47" t="s">
        <v>200</v>
      </c>
      <c r="N47" t="s">
        <v>218</v>
      </c>
      <c r="O47">
        <v>7</v>
      </c>
      <c r="P47" t="s">
        <v>171</v>
      </c>
      <c r="R47" t="s">
        <v>213</v>
      </c>
      <c r="S47" s="6">
        <v>10000</v>
      </c>
      <c r="T47" s="6">
        <v>0</v>
      </c>
      <c r="U47" s="6">
        <v>10000</v>
      </c>
      <c r="V47" s="6">
        <v>0</v>
      </c>
      <c r="W47" s="6">
        <v>0</v>
      </c>
      <c r="X47" s="6">
        <v>10000</v>
      </c>
      <c r="Y47" s="6">
        <v>0</v>
      </c>
      <c r="Z47" s="6">
        <v>0</v>
      </c>
      <c r="AA47" s="6">
        <v>0</v>
      </c>
      <c r="AB47" s="6">
        <v>0</v>
      </c>
      <c r="AC47" s="6">
        <v>0</v>
      </c>
      <c r="AE47" t="s">
        <v>219</v>
      </c>
      <c r="AF47" t="s">
        <v>220</v>
      </c>
      <c r="AG47" t="s">
        <v>89</v>
      </c>
      <c r="AJ47"/>
      <c r="AL47"/>
      <c r="AM47" t="s">
        <v>90</v>
      </c>
      <c r="AN47" t="s">
        <v>128</v>
      </c>
      <c r="AO47" t="s">
        <v>221</v>
      </c>
      <c r="AQ47"/>
      <c r="AW47" t="s">
        <v>223</v>
      </c>
      <c r="AX47" t="s">
        <v>98</v>
      </c>
      <c r="AY47">
        <v>2025</v>
      </c>
      <c r="AZ47">
        <v>0</v>
      </c>
      <c r="BA47" t="s">
        <v>230</v>
      </c>
      <c r="BB47">
        <v>10000</v>
      </c>
      <c r="BC47">
        <v>0</v>
      </c>
    </row>
    <row r="48" spans="1:55" x14ac:dyDescent="0.25">
      <c r="A48" t="s">
        <v>1</v>
      </c>
      <c r="B48" t="s">
        <v>74</v>
      </c>
      <c r="C48" t="s">
        <v>216</v>
      </c>
      <c r="D48" t="s">
        <v>231</v>
      </c>
      <c r="E48" t="s">
        <v>232</v>
      </c>
      <c r="F48"/>
      <c r="G48" t="s">
        <v>217</v>
      </c>
      <c r="H48" t="s">
        <v>77</v>
      </c>
      <c r="I48" t="s">
        <v>78</v>
      </c>
      <c r="J48" t="s">
        <v>79</v>
      </c>
      <c r="K48" t="s">
        <v>80</v>
      </c>
      <c r="L48" t="s">
        <v>81</v>
      </c>
      <c r="M48" t="s">
        <v>200</v>
      </c>
      <c r="N48" t="s">
        <v>218</v>
      </c>
      <c r="O48">
        <v>7</v>
      </c>
      <c r="P48" t="s">
        <v>171</v>
      </c>
      <c r="Q48"/>
      <c r="R48" t="s">
        <v>213</v>
      </c>
      <c r="S48" s="6">
        <v>10000</v>
      </c>
      <c r="T48" s="6">
        <v>0</v>
      </c>
      <c r="U48" s="6">
        <v>10000</v>
      </c>
      <c r="V48" s="6">
        <v>0</v>
      </c>
      <c r="W48" s="6">
        <v>0</v>
      </c>
      <c r="X48" s="6">
        <v>10000</v>
      </c>
      <c r="Y48" s="6">
        <v>0</v>
      </c>
      <c r="Z48" s="6">
        <v>0</v>
      </c>
      <c r="AA48" s="6">
        <v>0</v>
      </c>
      <c r="AB48" s="6">
        <v>0</v>
      </c>
      <c r="AC48" s="6">
        <v>0</v>
      </c>
      <c r="AE48" t="s">
        <v>219</v>
      </c>
      <c r="AF48" t="s">
        <v>220</v>
      </c>
      <c r="AG48" t="s">
        <v>89</v>
      </c>
      <c r="AJ48"/>
      <c r="AL48"/>
      <c r="AM48" t="s">
        <v>90</v>
      </c>
      <c r="AN48" t="s">
        <v>128</v>
      </c>
      <c r="AO48" t="s">
        <v>221</v>
      </c>
      <c r="AQ48"/>
      <c r="AW48" t="s">
        <v>223</v>
      </c>
      <c r="AX48" t="s">
        <v>98</v>
      </c>
      <c r="AY48">
        <v>2025</v>
      </c>
      <c r="AZ48">
        <v>0</v>
      </c>
      <c r="BA48" t="s">
        <v>233</v>
      </c>
      <c r="BB48">
        <v>10000</v>
      </c>
      <c r="BC48">
        <v>0</v>
      </c>
    </row>
    <row r="49" spans="1:55" x14ac:dyDescent="0.25">
      <c r="A49" t="s">
        <v>1</v>
      </c>
      <c r="B49" t="s">
        <v>74</v>
      </c>
      <c r="C49" t="s">
        <v>234</v>
      </c>
      <c r="D49" t="s">
        <v>27</v>
      </c>
      <c r="E49" t="s">
        <v>235</v>
      </c>
      <c r="F49"/>
      <c r="G49" t="s">
        <v>76</v>
      </c>
      <c r="H49" t="s">
        <v>77</v>
      </c>
      <c r="I49" t="s">
        <v>78</v>
      </c>
      <c r="J49" t="s">
        <v>79</v>
      </c>
      <c r="K49" t="s">
        <v>80</v>
      </c>
      <c r="L49" t="s">
        <v>81</v>
      </c>
      <c r="M49" t="s">
        <v>236</v>
      </c>
      <c r="N49" t="s">
        <v>237</v>
      </c>
      <c r="O49">
        <v>112</v>
      </c>
      <c r="P49" t="s">
        <v>84</v>
      </c>
      <c r="Q49" t="s">
        <v>238</v>
      </c>
      <c r="R49" t="s">
        <v>124</v>
      </c>
      <c r="S49" s="6">
        <v>0</v>
      </c>
      <c r="T49" s="6">
        <v>1199.400024414062</v>
      </c>
      <c r="U49" s="6">
        <v>1199.400024414062</v>
      </c>
      <c r="V49" s="6">
        <v>0</v>
      </c>
      <c r="W49" s="6">
        <v>0</v>
      </c>
      <c r="X49" s="6">
        <v>1199.400024414062</v>
      </c>
      <c r="Y49" s="6">
        <v>0</v>
      </c>
      <c r="Z49" s="6">
        <v>0</v>
      </c>
      <c r="AA49" s="6">
        <v>0</v>
      </c>
      <c r="AB49" s="6">
        <v>0</v>
      </c>
      <c r="AC49" s="6">
        <v>0</v>
      </c>
      <c r="AE49" t="s">
        <v>191</v>
      </c>
      <c r="AF49" t="s">
        <v>126</v>
      </c>
      <c r="AG49" t="s">
        <v>239</v>
      </c>
      <c r="AJ49"/>
      <c r="AL49"/>
      <c r="AM49" t="s">
        <v>90</v>
      </c>
      <c r="AN49" t="s">
        <v>91</v>
      </c>
      <c r="AO49" t="s">
        <v>240</v>
      </c>
      <c r="AP49" s="27" t="s">
        <v>92</v>
      </c>
      <c r="AQ49">
        <v>2026</v>
      </c>
      <c r="AR49" s="27" t="s">
        <v>241</v>
      </c>
      <c r="AS49" s="27" t="s">
        <v>242</v>
      </c>
      <c r="AT49" s="27" t="s">
        <v>243</v>
      </c>
      <c r="AW49" t="s">
        <v>184</v>
      </c>
      <c r="AX49" t="s">
        <v>98</v>
      </c>
      <c r="AY49">
        <v>2025</v>
      </c>
      <c r="AZ49">
        <v>0</v>
      </c>
      <c r="BA49" t="s">
        <v>244</v>
      </c>
      <c r="BB49">
        <v>1199.400024414062</v>
      </c>
      <c r="BC49">
        <v>1</v>
      </c>
    </row>
    <row r="50" spans="1:55" x14ac:dyDescent="0.25">
      <c r="A50" t="s">
        <v>1</v>
      </c>
      <c r="B50" t="s">
        <v>74</v>
      </c>
      <c r="C50" t="s">
        <v>407</v>
      </c>
      <c r="D50" t="s">
        <v>27</v>
      </c>
      <c r="E50" t="s">
        <v>408</v>
      </c>
      <c r="F50" t="s">
        <v>409</v>
      </c>
      <c r="G50" t="s">
        <v>410</v>
      </c>
      <c r="H50" t="s">
        <v>265</v>
      </c>
      <c r="I50" t="s">
        <v>266</v>
      </c>
      <c r="J50" t="s">
        <v>79</v>
      </c>
      <c r="K50" t="s">
        <v>80</v>
      </c>
      <c r="L50" t="s">
        <v>81</v>
      </c>
      <c r="M50" t="s">
        <v>200</v>
      </c>
      <c r="N50" t="s">
        <v>411</v>
      </c>
      <c r="O50">
        <v>20</v>
      </c>
      <c r="P50" t="s">
        <v>171</v>
      </c>
      <c r="R50" t="s">
        <v>310</v>
      </c>
      <c r="S50" s="6">
        <v>20000</v>
      </c>
      <c r="T50" s="6">
        <v>0</v>
      </c>
      <c r="U50" s="6">
        <v>20000</v>
      </c>
      <c r="V50" s="6">
        <v>0</v>
      </c>
      <c r="W50" s="6">
        <v>0</v>
      </c>
      <c r="X50" s="6">
        <v>20000</v>
      </c>
      <c r="Y50" s="6">
        <v>0</v>
      </c>
      <c r="Z50" s="6">
        <v>0</v>
      </c>
      <c r="AA50" s="6">
        <v>0</v>
      </c>
      <c r="AB50" s="6">
        <v>0</v>
      </c>
      <c r="AC50" s="6">
        <v>0</v>
      </c>
      <c r="AE50" t="s">
        <v>282</v>
      </c>
      <c r="AF50" t="s">
        <v>412</v>
      </c>
      <c r="AG50" t="s">
        <v>284</v>
      </c>
      <c r="AJ50"/>
      <c r="AL50"/>
      <c r="AM50" t="s">
        <v>90</v>
      </c>
      <c r="AN50" t="s">
        <v>128</v>
      </c>
      <c r="AO50" t="s">
        <v>90</v>
      </c>
      <c r="AQ50"/>
      <c r="AW50" t="s">
        <v>413</v>
      </c>
      <c r="AX50" t="s">
        <v>275</v>
      </c>
      <c r="AY50">
        <v>2025</v>
      </c>
      <c r="AZ50">
        <v>0</v>
      </c>
      <c r="BA50" t="s">
        <v>414</v>
      </c>
      <c r="BB50">
        <v>20000</v>
      </c>
      <c r="BC50">
        <v>1</v>
      </c>
    </row>
    <row r="51" spans="1:55" x14ac:dyDescent="0.25">
      <c r="A51" t="s">
        <v>1</v>
      </c>
      <c r="B51" t="s">
        <v>74</v>
      </c>
      <c r="C51" t="s">
        <v>277</v>
      </c>
      <c r="D51" t="s">
        <v>27</v>
      </c>
      <c r="E51" t="s">
        <v>278</v>
      </c>
      <c r="F51"/>
      <c r="G51" t="s">
        <v>279</v>
      </c>
      <c r="H51" t="s">
        <v>265</v>
      </c>
      <c r="I51" t="s">
        <v>266</v>
      </c>
      <c r="J51" t="s">
        <v>79</v>
      </c>
      <c r="K51" t="s">
        <v>80</v>
      </c>
      <c r="L51" t="s">
        <v>81</v>
      </c>
      <c r="M51" t="s">
        <v>280</v>
      </c>
      <c r="N51" t="s">
        <v>170</v>
      </c>
      <c r="O51">
        <v>121</v>
      </c>
      <c r="P51" t="s">
        <v>171</v>
      </c>
      <c r="R51" t="s">
        <v>281</v>
      </c>
      <c r="S51" s="6">
        <v>10000</v>
      </c>
      <c r="T51" s="6">
        <v>0</v>
      </c>
      <c r="U51" s="6">
        <v>10000</v>
      </c>
      <c r="V51" s="6">
        <v>0</v>
      </c>
      <c r="W51" s="6">
        <v>0</v>
      </c>
      <c r="X51" s="6">
        <v>10000</v>
      </c>
      <c r="Y51" s="6">
        <v>0</v>
      </c>
      <c r="Z51" s="6">
        <v>0</v>
      </c>
      <c r="AA51" s="6">
        <v>0</v>
      </c>
      <c r="AB51" s="6">
        <v>0</v>
      </c>
      <c r="AC51" s="6">
        <v>0</v>
      </c>
      <c r="AE51" t="s">
        <v>282</v>
      </c>
      <c r="AF51" t="s">
        <v>283</v>
      </c>
      <c r="AG51" t="s">
        <v>284</v>
      </c>
      <c r="AJ51"/>
      <c r="AL51"/>
      <c r="AM51" t="s">
        <v>90</v>
      </c>
      <c r="AN51" t="s">
        <v>142</v>
      </c>
      <c r="AO51" t="s">
        <v>90</v>
      </c>
      <c r="AQ51"/>
      <c r="AW51" t="s">
        <v>285</v>
      </c>
      <c r="AX51" t="s">
        <v>275</v>
      </c>
      <c r="AY51">
        <v>2025</v>
      </c>
      <c r="AZ51">
        <v>0</v>
      </c>
      <c r="BA51" t="s">
        <v>286</v>
      </c>
      <c r="BB51">
        <v>10000</v>
      </c>
      <c r="BC51">
        <v>1</v>
      </c>
    </row>
    <row r="52" spans="1:55" x14ac:dyDescent="0.25">
      <c r="A52" t="s">
        <v>1</v>
      </c>
      <c r="B52" t="s">
        <v>74</v>
      </c>
      <c r="C52" t="s">
        <v>245</v>
      </c>
      <c r="D52" t="s">
        <v>27</v>
      </c>
      <c r="E52" t="s">
        <v>74</v>
      </c>
      <c r="F52"/>
      <c r="G52" t="s">
        <v>246</v>
      </c>
      <c r="H52" t="s">
        <v>77</v>
      </c>
      <c r="I52" t="s">
        <v>78</v>
      </c>
      <c r="J52" t="s">
        <v>79</v>
      </c>
      <c r="K52" t="s">
        <v>80</v>
      </c>
      <c r="L52" t="s">
        <v>81</v>
      </c>
      <c r="M52" t="s">
        <v>247</v>
      </c>
      <c r="N52" t="s">
        <v>247</v>
      </c>
      <c r="O52">
        <v>0</v>
      </c>
      <c r="P52" t="s">
        <v>84</v>
      </c>
      <c r="Q52" s="27" t="s">
        <v>248</v>
      </c>
      <c r="R52" t="s">
        <v>124</v>
      </c>
      <c r="S52" s="6">
        <v>0</v>
      </c>
      <c r="T52" s="6">
        <v>6062.91015625</v>
      </c>
      <c r="U52" s="6">
        <v>6062.91015625</v>
      </c>
      <c r="V52" s="6">
        <v>0</v>
      </c>
      <c r="W52" s="6">
        <v>0</v>
      </c>
      <c r="X52" s="6">
        <v>6062.91015625</v>
      </c>
      <c r="Y52" s="6">
        <v>0</v>
      </c>
      <c r="Z52" s="6">
        <v>0</v>
      </c>
      <c r="AA52" s="6">
        <v>0</v>
      </c>
      <c r="AB52" s="6">
        <v>0</v>
      </c>
      <c r="AC52" s="6">
        <v>0</v>
      </c>
      <c r="AE52" t="s">
        <v>153</v>
      </c>
      <c r="AF52" t="s">
        <v>126</v>
      </c>
      <c r="AG52" t="s">
        <v>249</v>
      </c>
      <c r="AJ52"/>
      <c r="AL52"/>
      <c r="AM52" t="s">
        <v>90</v>
      </c>
      <c r="AN52" t="s">
        <v>250</v>
      </c>
      <c r="AO52" t="s">
        <v>251</v>
      </c>
      <c r="AP52" s="27" t="s">
        <v>92</v>
      </c>
      <c r="AQ52">
        <v>2025</v>
      </c>
      <c r="AR52" s="27" t="s">
        <v>145</v>
      </c>
      <c r="AS52" s="27" t="s">
        <v>159</v>
      </c>
      <c r="AT52" s="27" t="s">
        <v>252</v>
      </c>
      <c r="AV52" s="27" t="s">
        <v>76</v>
      </c>
      <c r="AW52" t="s">
        <v>133</v>
      </c>
      <c r="AX52" t="s">
        <v>98</v>
      </c>
      <c r="AY52">
        <v>2025</v>
      </c>
      <c r="AZ52">
        <v>0</v>
      </c>
      <c r="BA52" t="s">
        <v>253</v>
      </c>
      <c r="BB52">
        <v>6062.91015625</v>
      </c>
      <c r="BC52">
        <v>1</v>
      </c>
    </row>
    <row r="53" spans="1:55" x14ac:dyDescent="0.25">
      <c r="A53" t="s">
        <v>1</v>
      </c>
      <c r="B53" t="s">
        <v>74</v>
      </c>
      <c r="C53" t="s">
        <v>321</v>
      </c>
      <c r="D53" t="s">
        <v>27</v>
      </c>
      <c r="E53" t="s">
        <v>322</v>
      </c>
      <c r="F53" t="s">
        <v>307</v>
      </c>
      <c r="G53" t="s">
        <v>323</v>
      </c>
      <c r="H53" t="s">
        <v>265</v>
      </c>
      <c r="I53" t="s">
        <v>266</v>
      </c>
      <c r="J53" t="s">
        <v>79</v>
      </c>
      <c r="K53" t="s">
        <v>80</v>
      </c>
      <c r="L53" t="s">
        <v>81</v>
      </c>
      <c r="M53" t="s">
        <v>101</v>
      </c>
      <c r="N53" t="s">
        <v>324</v>
      </c>
      <c r="O53">
        <v>41</v>
      </c>
      <c r="P53" t="s">
        <v>171</v>
      </c>
      <c r="R53" t="s">
        <v>281</v>
      </c>
      <c r="S53" s="6">
        <v>5000</v>
      </c>
      <c r="T53" s="6">
        <v>0</v>
      </c>
      <c r="U53" s="6">
        <v>5000</v>
      </c>
      <c r="V53" s="6">
        <v>0</v>
      </c>
      <c r="W53" s="6">
        <v>0</v>
      </c>
      <c r="X53" s="6">
        <v>5000</v>
      </c>
      <c r="Y53" s="6">
        <v>0</v>
      </c>
      <c r="Z53" s="6">
        <v>0</v>
      </c>
      <c r="AA53" s="6">
        <v>0</v>
      </c>
      <c r="AB53" s="6">
        <v>0</v>
      </c>
      <c r="AC53" s="6">
        <v>0</v>
      </c>
      <c r="AE53" t="s">
        <v>282</v>
      </c>
      <c r="AF53" t="s">
        <v>325</v>
      </c>
      <c r="AG53" t="s">
        <v>284</v>
      </c>
      <c r="AJ53"/>
      <c r="AL53"/>
      <c r="AM53" t="s">
        <v>90</v>
      </c>
      <c r="AN53" t="s">
        <v>91</v>
      </c>
      <c r="AO53" t="s">
        <v>90</v>
      </c>
      <c r="AQ53"/>
      <c r="AW53" t="s">
        <v>326</v>
      </c>
      <c r="AX53" t="s">
        <v>275</v>
      </c>
      <c r="AY53">
        <v>2025</v>
      </c>
      <c r="AZ53">
        <v>0</v>
      </c>
      <c r="BA53" t="s">
        <v>327</v>
      </c>
      <c r="BB53">
        <v>5000</v>
      </c>
      <c r="BC53">
        <v>1</v>
      </c>
    </row>
    <row r="54" spans="1:55" x14ac:dyDescent="0.25">
      <c r="A54" t="s">
        <v>1</v>
      </c>
      <c r="B54" t="s">
        <v>74</v>
      </c>
      <c r="C54" t="s">
        <v>328</v>
      </c>
      <c r="D54" t="s">
        <v>27</v>
      </c>
      <c r="E54" t="s">
        <v>329</v>
      </c>
      <c r="F54" t="s">
        <v>307</v>
      </c>
      <c r="G54" t="s">
        <v>264</v>
      </c>
      <c r="H54" t="s">
        <v>265</v>
      </c>
      <c r="I54" t="s">
        <v>266</v>
      </c>
      <c r="J54" t="s">
        <v>79</v>
      </c>
      <c r="K54" t="s">
        <v>80</v>
      </c>
      <c r="L54" t="s">
        <v>81</v>
      </c>
      <c r="M54" t="s">
        <v>330</v>
      </c>
      <c r="N54" t="s">
        <v>331</v>
      </c>
      <c r="O54">
        <v>134</v>
      </c>
      <c r="P54" t="s">
        <v>171</v>
      </c>
      <c r="R54" t="s">
        <v>310</v>
      </c>
      <c r="S54" s="6">
        <v>2500</v>
      </c>
      <c r="T54" s="6">
        <v>0</v>
      </c>
      <c r="U54" s="6">
        <v>2500</v>
      </c>
      <c r="V54" s="6">
        <v>0</v>
      </c>
      <c r="W54" s="6">
        <v>0</v>
      </c>
      <c r="X54" s="6">
        <v>2500</v>
      </c>
      <c r="Y54" s="6">
        <v>0</v>
      </c>
      <c r="Z54" s="6">
        <v>0</v>
      </c>
      <c r="AA54" s="6">
        <v>0</v>
      </c>
      <c r="AB54" s="6">
        <v>0</v>
      </c>
      <c r="AC54" s="6">
        <v>0</v>
      </c>
      <c r="AE54" t="s">
        <v>282</v>
      </c>
      <c r="AF54" t="s">
        <v>311</v>
      </c>
      <c r="AG54" t="s">
        <v>284</v>
      </c>
      <c r="AJ54"/>
      <c r="AL54"/>
      <c r="AM54" t="s">
        <v>90</v>
      </c>
      <c r="AN54" t="s">
        <v>142</v>
      </c>
      <c r="AO54" t="s">
        <v>90</v>
      </c>
      <c r="AQ54"/>
      <c r="AW54" t="s">
        <v>332</v>
      </c>
      <c r="AX54" t="s">
        <v>275</v>
      </c>
      <c r="AY54">
        <v>2025</v>
      </c>
      <c r="AZ54">
        <v>0</v>
      </c>
      <c r="BA54" t="s">
        <v>333</v>
      </c>
      <c r="BB54">
        <v>2500</v>
      </c>
      <c r="BC54">
        <v>1</v>
      </c>
    </row>
    <row r="55" spans="1:55" x14ac:dyDescent="0.25">
      <c r="A55" t="s">
        <v>1</v>
      </c>
      <c r="B55" t="s">
        <v>74</v>
      </c>
      <c r="C55" t="s">
        <v>328</v>
      </c>
      <c r="D55" t="s">
        <v>164</v>
      </c>
      <c r="E55" t="s">
        <v>329</v>
      </c>
      <c r="F55" t="s">
        <v>307</v>
      </c>
      <c r="G55" t="s">
        <v>264</v>
      </c>
      <c r="H55" t="s">
        <v>265</v>
      </c>
      <c r="I55" t="s">
        <v>266</v>
      </c>
      <c r="J55" t="s">
        <v>79</v>
      </c>
      <c r="K55" t="s">
        <v>80</v>
      </c>
      <c r="L55" t="s">
        <v>81</v>
      </c>
      <c r="M55" t="s">
        <v>330</v>
      </c>
      <c r="N55" t="s">
        <v>331</v>
      </c>
      <c r="O55">
        <v>134</v>
      </c>
      <c r="P55" t="s">
        <v>171</v>
      </c>
      <c r="R55" t="s">
        <v>334</v>
      </c>
      <c r="S55" s="6">
        <v>2500</v>
      </c>
      <c r="T55" s="6">
        <v>0</v>
      </c>
      <c r="U55" s="6">
        <v>2500</v>
      </c>
      <c r="V55" s="6">
        <v>0</v>
      </c>
      <c r="W55" s="6">
        <v>0</v>
      </c>
      <c r="X55" s="6">
        <v>2500</v>
      </c>
      <c r="Y55" s="6">
        <v>0</v>
      </c>
      <c r="Z55" s="6">
        <v>0</v>
      </c>
      <c r="AA55" s="6">
        <v>0</v>
      </c>
      <c r="AB55" s="6">
        <v>0</v>
      </c>
      <c r="AC55" s="6">
        <v>0</v>
      </c>
      <c r="AE55" t="s">
        <v>282</v>
      </c>
      <c r="AF55" t="s">
        <v>311</v>
      </c>
      <c r="AG55" t="s">
        <v>284</v>
      </c>
      <c r="AJ55"/>
      <c r="AL55"/>
      <c r="AM55" t="s">
        <v>90</v>
      </c>
      <c r="AN55" t="s">
        <v>142</v>
      </c>
      <c r="AO55" t="s">
        <v>90</v>
      </c>
      <c r="AQ55"/>
      <c r="AW55" t="s">
        <v>332</v>
      </c>
      <c r="AX55" t="s">
        <v>275</v>
      </c>
      <c r="AY55">
        <v>2025</v>
      </c>
      <c r="AZ55">
        <v>0</v>
      </c>
      <c r="BA55" t="s">
        <v>335</v>
      </c>
      <c r="BB55">
        <v>2500</v>
      </c>
      <c r="BC55">
        <v>0</v>
      </c>
    </row>
    <row r="56" spans="1:55" x14ac:dyDescent="0.25">
      <c r="A56" t="s">
        <v>1</v>
      </c>
      <c r="B56" t="s">
        <v>74</v>
      </c>
      <c r="C56" t="s">
        <v>254</v>
      </c>
      <c r="D56" t="s">
        <v>27</v>
      </c>
      <c r="E56" t="s">
        <v>74</v>
      </c>
      <c r="F56"/>
      <c r="G56" t="s">
        <v>76</v>
      </c>
      <c r="H56" t="s">
        <v>77</v>
      </c>
      <c r="I56" t="s">
        <v>78</v>
      </c>
      <c r="J56" t="s">
        <v>79</v>
      </c>
      <c r="K56" t="s">
        <v>80</v>
      </c>
      <c r="L56" t="s">
        <v>81</v>
      </c>
      <c r="M56" t="s">
        <v>255</v>
      </c>
      <c r="N56" t="s">
        <v>256</v>
      </c>
      <c r="O56">
        <v>91</v>
      </c>
      <c r="P56" t="s">
        <v>84</v>
      </c>
      <c r="Q56" s="27" t="s">
        <v>257</v>
      </c>
      <c r="R56" t="s">
        <v>86</v>
      </c>
      <c r="S56" s="6">
        <v>0</v>
      </c>
      <c r="T56" s="6">
        <v>575.6500244140625</v>
      </c>
      <c r="U56" s="6">
        <v>575.6500244140625</v>
      </c>
      <c r="V56" s="6">
        <v>0</v>
      </c>
      <c r="W56" s="6">
        <v>0</v>
      </c>
      <c r="X56" s="6">
        <v>575.6500244140625</v>
      </c>
      <c r="Y56" s="6">
        <v>0</v>
      </c>
      <c r="Z56" s="6">
        <v>0</v>
      </c>
      <c r="AA56" s="6">
        <v>0</v>
      </c>
      <c r="AB56" s="6">
        <v>0</v>
      </c>
      <c r="AC56" s="6">
        <v>0</v>
      </c>
      <c r="AE56" t="s">
        <v>87</v>
      </c>
      <c r="AF56" t="s">
        <v>88</v>
      </c>
      <c r="AG56" t="s">
        <v>89</v>
      </c>
      <c r="AJ56"/>
      <c r="AL56"/>
      <c r="AM56" t="s">
        <v>90</v>
      </c>
      <c r="AN56" t="s">
        <v>91</v>
      </c>
      <c r="AO56" t="s">
        <v>90</v>
      </c>
      <c r="AP56" s="27" t="s">
        <v>92</v>
      </c>
      <c r="AQ56">
        <v>2023</v>
      </c>
      <c r="AR56" s="27" t="s">
        <v>258</v>
      </c>
      <c r="AS56" s="27" t="s">
        <v>159</v>
      </c>
      <c r="AT56" s="27" t="s">
        <v>259</v>
      </c>
      <c r="AW56" t="s">
        <v>260</v>
      </c>
      <c r="AX56" t="s">
        <v>98</v>
      </c>
      <c r="AY56">
        <v>2025</v>
      </c>
      <c r="AZ56">
        <v>0</v>
      </c>
      <c r="BA56" t="s">
        <v>261</v>
      </c>
      <c r="BB56">
        <v>575.6500244140625</v>
      </c>
      <c r="BC56">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C9"/>
  <sheetViews>
    <sheetView workbookViewId="0">
      <pane ySplit="1" topLeftCell="A2" activePane="bottomLeft" state="frozen"/>
      <selection activeCell="H1" sqref="H1"/>
      <selection pane="bottomLeft" activeCell="A2" sqref="A2"/>
    </sheetView>
  </sheetViews>
  <sheetFormatPr defaultColWidth="8.85546875" defaultRowHeight="15" x14ac:dyDescent="0.25"/>
  <cols>
    <col min="1" max="1" width="20.28515625" style="27" bestFit="1" customWidth="1"/>
    <col min="2" max="2" width="22" style="27" bestFit="1" customWidth="1"/>
    <col min="3" max="3" width="16.42578125" style="27" bestFit="1" customWidth="1"/>
    <col min="4" max="4" width="11.7109375" style="27" bestFit="1" customWidth="1"/>
    <col min="5" max="5" width="17.28515625" style="27" bestFit="1" customWidth="1"/>
    <col min="6" max="6" width="28.140625" style="27" bestFit="1" customWidth="1"/>
    <col min="7" max="7" width="16.42578125" style="27" bestFit="1" customWidth="1"/>
    <col min="8" max="8" width="16" style="27" bestFit="1" customWidth="1"/>
    <col min="9" max="9" width="16.5703125" style="27" bestFit="1" customWidth="1"/>
    <col min="10" max="10" width="13.5703125" style="27" bestFit="1" customWidth="1"/>
    <col min="11" max="11" width="22.28515625" style="27" bestFit="1" customWidth="1"/>
    <col min="12" max="12" width="23.28515625" style="27" bestFit="1" customWidth="1"/>
    <col min="13" max="13" width="12.140625" style="27" bestFit="1" customWidth="1"/>
    <col min="14" max="14" width="16.42578125" style="27" bestFit="1" customWidth="1"/>
    <col min="15" max="15" width="11.140625" style="27" bestFit="1" customWidth="1"/>
    <col min="16" max="16" width="14.7109375" style="27" bestFit="1" customWidth="1"/>
    <col min="17" max="17" width="20.42578125" style="27" bestFit="1" customWidth="1"/>
    <col min="18" max="18" width="11.85546875" style="27" bestFit="1" customWidth="1"/>
    <col min="19" max="19" width="27.140625" style="27" bestFit="1" customWidth="1"/>
    <col min="20" max="20" width="48.5703125" style="27" bestFit="1" customWidth="1"/>
    <col min="21" max="21" width="19.7109375" style="27" bestFit="1" customWidth="1"/>
    <col min="22" max="22" width="15.7109375" style="27" bestFit="1" customWidth="1"/>
    <col min="23" max="23" width="12" style="27" bestFit="1" customWidth="1"/>
    <col min="24" max="24" width="22.28515625" style="27" bestFit="1" customWidth="1"/>
    <col min="25" max="25" width="19.140625" style="27" bestFit="1" customWidth="1"/>
    <col min="26" max="26" width="17.5703125" style="27" bestFit="1" customWidth="1"/>
    <col min="27" max="27" width="16.42578125" style="27" bestFit="1" customWidth="1"/>
    <col min="28" max="28" width="22.42578125" style="27" bestFit="1" customWidth="1"/>
    <col min="29" max="29" width="20.140625" style="27" bestFit="1" customWidth="1"/>
    <col min="30" max="30" width="18" style="27" bestFit="1" customWidth="1"/>
    <col min="31" max="31" width="16.28515625" style="27" bestFit="1" customWidth="1"/>
    <col min="32" max="33" width="21" style="27" bestFit="1" customWidth="1"/>
    <col min="34" max="34" width="10.28515625" style="27" bestFit="1" customWidth="1"/>
    <col min="35" max="35" width="15.42578125" style="27" bestFit="1" customWidth="1"/>
    <col min="36" max="36" width="26.85546875" style="27" bestFit="1" customWidth="1"/>
    <col min="37" max="37" width="28.42578125" style="27" bestFit="1" customWidth="1"/>
    <col min="38" max="38" width="29.28515625" style="27" bestFit="1" customWidth="1"/>
    <col min="39" max="39" width="13.5703125" style="27" bestFit="1" customWidth="1"/>
    <col min="40" max="40" width="23.42578125" style="27" bestFit="1" customWidth="1"/>
    <col min="41" max="41" width="16.28515625" style="27" bestFit="1" customWidth="1"/>
    <col min="42" max="42" width="21" style="27" bestFit="1" customWidth="1"/>
    <col min="43" max="43" width="14.42578125" style="27" bestFit="1" customWidth="1"/>
    <col min="44" max="44" width="22.7109375" style="27" bestFit="1" customWidth="1"/>
    <col min="45" max="45" width="16.140625" style="27" bestFit="1" customWidth="1"/>
    <col min="46" max="46" width="20.42578125" style="27" bestFit="1" customWidth="1"/>
    <col min="47" max="47" width="22.7109375" style="27" bestFit="1" customWidth="1"/>
    <col min="48" max="48" width="22.85546875" style="27" bestFit="1" customWidth="1"/>
    <col min="49" max="49" width="10.85546875" style="27" bestFit="1" customWidth="1"/>
    <col min="50" max="50" width="23" style="27" bestFit="1" customWidth="1"/>
    <col min="51" max="51" width="8.7109375" style="27" bestFit="1" customWidth="1"/>
    <col min="52" max="52" width="13.140625" style="27" bestFit="1" customWidth="1"/>
    <col min="53" max="53" width="19.140625" style="27" bestFit="1" customWidth="1"/>
    <col min="54" max="54" width="24" style="27" bestFit="1" customWidth="1"/>
    <col min="55" max="55" width="15.85546875" style="27" bestFit="1" customWidth="1"/>
    <col min="56" max="56" width="23" style="27" bestFit="1" customWidth="1"/>
    <col min="57" max="57" width="8.85546875" style="27" customWidth="1"/>
    <col min="58" max="16384" width="8.85546875" style="27"/>
  </cols>
  <sheetData>
    <row r="1" spans="1:55" x14ac:dyDescent="0.25">
      <c r="A1" t="s">
        <v>32</v>
      </c>
      <c r="B1" t="s">
        <v>33</v>
      </c>
      <c r="C1" t="s">
        <v>17</v>
      </c>
      <c r="D1" t="s">
        <v>18</v>
      </c>
      <c r="E1" t="s">
        <v>19</v>
      </c>
      <c r="F1" t="s">
        <v>16</v>
      </c>
      <c r="G1" t="s">
        <v>34</v>
      </c>
      <c r="H1" t="s">
        <v>8</v>
      </c>
      <c r="I1" t="s">
        <v>35</v>
      </c>
      <c r="J1" t="s">
        <v>36</v>
      </c>
      <c r="K1" t="s">
        <v>15</v>
      </c>
      <c r="L1" t="s">
        <v>37</v>
      </c>
      <c r="M1" t="s">
        <v>38</v>
      </c>
      <c r="N1" t="s">
        <v>39</v>
      </c>
      <c r="O1" t="s">
        <v>40</v>
      </c>
      <c r="P1" t="s">
        <v>10</v>
      </c>
      <c r="Q1" t="s">
        <v>41</v>
      </c>
      <c r="R1" t="s">
        <v>42</v>
      </c>
      <c r="S1" t="s">
        <v>20</v>
      </c>
      <c r="T1" t="s">
        <v>21</v>
      </c>
      <c r="U1" t="s">
        <v>54</v>
      </c>
      <c r="V1" t="s">
        <v>55</v>
      </c>
      <c r="W1" t="s">
        <v>56</v>
      </c>
      <c r="X1" t="s">
        <v>57</v>
      </c>
      <c r="Y1" t="s">
        <v>58</v>
      </c>
      <c r="Z1" t="s">
        <v>59</v>
      </c>
      <c r="AA1" t="s">
        <v>60</v>
      </c>
      <c r="AB1" t="s">
        <v>61</v>
      </c>
      <c r="AC1" t="s">
        <v>62</v>
      </c>
      <c r="AD1" t="s">
        <v>63</v>
      </c>
      <c r="AE1" t="s">
        <v>64</v>
      </c>
      <c r="AF1" t="s">
        <v>65</v>
      </c>
      <c r="AG1" t="s">
        <v>66</v>
      </c>
      <c r="AH1" t="s">
        <v>67</v>
      </c>
      <c r="AI1" t="s">
        <v>68</v>
      </c>
      <c r="AJ1" t="s">
        <v>69</v>
      </c>
      <c r="AK1" t="s">
        <v>70</v>
      </c>
      <c r="AL1" t="s">
        <v>14</v>
      </c>
      <c r="AM1" t="s">
        <v>13</v>
      </c>
      <c r="AN1" t="s">
        <v>71</v>
      </c>
      <c r="AO1" t="s">
        <v>73</v>
      </c>
    </row>
    <row r="2" spans="1:55" x14ac:dyDescent="0.25">
      <c r="A2" t="s">
        <v>1</v>
      </c>
      <c r="B2" t="s">
        <v>74</v>
      </c>
      <c r="C2" t="s">
        <v>423</v>
      </c>
      <c r="D2" t="s">
        <v>27</v>
      </c>
      <c r="E2" t="s">
        <v>424</v>
      </c>
      <c r="F2" t="s">
        <v>307</v>
      </c>
      <c r="G2" t="s">
        <v>425</v>
      </c>
      <c r="H2" t="s">
        <v>265</v>
      </c>
      <c r="I2" t="s">
        <v>266</v>
      </c>
      <c r="J2" t="s">
        <v>79</v>
      </c>
      <c r="K2" s="22" t="s">
        <v>80</v>
      </c>
      <c r="L2" s="22" t="s">
        <v>81</v>
      </c>
      <c r="M2" s="22" t="s">
        <v>426</v>
      </c>
      <c r="N2" s="22" t="s">
        <v>427</v>
      </c>
      <c r="O2">
        <v>10</v>
      </c>
      <c r="P2" t="s">
        <v>84</v>
      </c>
      <c r="Q2" s="22" t="s">
        <v>308</v>
      </c>
      <c r="R2" t="s">
        <v>310</v>
      </c>
      <c r="S2" t="s">
        <v>282</v>
      </c>
      <c r="T2" t="s">
        <v>325</v>
      </c>
      <c r="U2" t="s">
        <v>284</v>
      </c>
      <c r="X2"/>
      <c r="Z2"/>
      <c r="AA2" t="s">
        <v>90</v>
      </c>
      <c r="AB2" t="s">
        <v>250</v>
      </c>
      <c r="AC2" t="s">
        <v>90</v>
      </c>
      <c r="AE2"/>
      <c r="AK2" t="s">
        <v>313</v>
      </c>
      <c r="AL2" t="s">
        <v>275</v>
      </c>
      <c r="AM2">
        <v>2025</v>
      </c>
      <c r="AN2" t="s">
        <v>428</v>
      </c>
      <c r="AO2">
        <v>1</v>
      </c>
      <c r="BC2" s="21"/>
    </row>
    <row r="3" spans="1:55" x14ac:dyDescent="0.25">
      <c r="A3" t="s">
        <v>1</v>
      </c>
      <c r="B3" t="s">
        <v>74</v>
      </c>
      <c r="C3" t="s">
        <v>423</v>
      </c>
      <c r="D3" t="s">
        <v>164</v>
      </c>
      <c r="E3" t="s">
        <v>424</v>
      </c>
      <c r="F3" t="s">
        <v>307</v>
      </c>
      <c r="G3" t="s">
        <v>425</v>
      </c>
      <c r="H3" t="s">
        <v>265</v>
      </c>
      <c r="I3" t="s">
        <v>266</v>
      </c>
      <c r="J3" t="s">
        <v>79</v>
      </c>
      <c r="K3" t="s">
        <v>80</v>
      </c>
      <c r="L3" t="s">
        <v>81</v>
      </c>
      <c r="M3" t="s">
        <v>426</v>
      </c>
      <c r="N3" t="s">
        <v>427</v>
      </c>
      <c r="O3">
        <v>10</v>
      </c>
      <c r="P3" t="s">
        <v>84</v>
      </c>
      <c r="Q3" t="s">
        <v>308</v>
      </c>
      <c r="R3" t="s">
        <v>310</v>
      </c>
      <c r="S3" t="s">
        <v>282</v>
      </c>
      <c r="T3" t="s">
        <v>325</v>
      </c>
      <c r="U3" t="s">
        <v>284</v>
      </c>
      <c r="X3"/>
      <c r="Z3"/>
      <c r="AA3" t="s">
        <v>90</v>
      </c>
      <c r="AB3" t="s">
        <v>250</v>
      </c>
      <c r="AC3" t="s">
        <v>90</v>
      </c>
      <c r="AE3"/>
      <c r="AK3" t="s">
        <v>313</v>
      </c>
      <c r="AL3" t="s">
        <v>275</v>
      </c>
      <c r="AM3">
        <v>2025</v>
      </c>
      <c r="AN3" t="s">
        <v>429</v>
      </c>
      <c r="AO3">
        <v>0</v>
      </c>
    </row>
    <row r="4" spans="1:55" x14ac:dyDescent="0.25">
      <c r="A4" t="s">
        <v>1</v>
      </c>
      <c r="B4" t="s">
        <v>74</v>
      </c>
      <c r="C4" t="s">
        <v>430</v>
      </c>
      <c r="D4"/>
      <c r="E4"/>
      <c r="F4" t="s">
        <v>307</v>
      </c>
      <c r="G4" t="s">
        <v>120</v>
      </c>
      <c r="H4" t="s">
        <v>265</v>
      </c>
      <c r="I4" t="s">
        <v>266</v>
      </c>
      <c r="J4" t="s">
        <v>79</v>
      </c>
      <c r="K4" t="s">
        <v>80</v>
      </c>
      <c r="L4" t="s">
        <v>81</v>
      </c>
      <c r="M4" t="s">
        <v>431</v>
      </c>
      <c r="N4" t="s">
        <v>324</v>
      </c>
      <c r="O4">
        <v>782</v>
      </c>
      <c r="P4" t="s">
        <v>171</v>
      </c>
      <c r="S4" t="s">
        <v>282</v>
      </c>
      <c r="T4" t="s">
        <v>311</v>
      </c>
      <c r="U4" t="s">
        <v>432</v>
      </c>
      <c r="X4"/>
      <c r="Z4"/>
      <c r="AA4" t="s">
        <v>90</v>
      </c>
      <c r="AB4" t="s">
        <v>156</v>
      </c>
      <c r="AC4" t="s">
        <v>90</v>
      </c>
      <c r="AE4"/>
      <c r="AL4" t="s">
        <v>275</v>
      </c>
      <c r="AM4">
        <v>2025</v>
      </c>
      <c r="AN4" t="s">
        <v>430</v>
      </c>
      <c r="AO4">
        <v>1</v>
      </c>
    </row>
    <row r="5" spans="1:55" x14ac:dyDescent="0.25">
      <c r="A5" t="s">
        <v>1</v>
      </c>
      <c r="B5" t="s">
        <v>74</v>
      </c>
      <c r="C5" t="s">
        <v>433</v>
      </c>
      <c r="D5" t="s">
        <v>27</v>
      </c>
      <c r="E5" t="s">
        <v>434</v>
      </c>
      <c r="F5" t="s">
        <v>307</v>
      </c>
      <c r="G5" t="s">
        <v>76</v>
      </c>
      <c r="H5" t="s">
        <v>290</v>
      </c>
      <c r="I5" t="s">
        <v>291</v>
      </c>
      <c r="J5" t="s">
        <v>79</v>
      </c>
      <c r="K5" t="s">
        <v>80</v>
      </c>
      <c r="L5" t="s">
        <v>81</v>
      </c>
      <c r="M5" t="s">
        <v>102</v>
      </c>
      <c r="N5" t="s">
        <v>435</v>
      </c>
      <c r="O5">
        <v>3</v>
      </c>
      <c r="P5" t="s">
        <v>84</v>
      </c>
      <c r="Q5" t="s">
        <v>436</v>
      </c>
      <c r="R5" t="s">
        <v>295</v>
      </c>
      <c r="S5" t="s">
        <v>437</v>
      </c>
      <c r="T5" t="s">
        <v>438</v>
      </c>
      <c r="U5" t="s">
        <v>439</v>
      </c>
      <c r="X5"/>
      <c r="Z5"/>
      <c r="AA5" t="s">
        <v>440</v>
      </c>
      <c r="AB5" t="s">
        <v>128</v>
      </c>
      <c r="AC5" t="s">
        <v>90</v>
      </c>
      <c r="AE5"/>
      <c r="AK5" t="s">
        <v>441</v>
      </c>
      <c r="AL5" t="s">
        <v>301</v>
      </c>
      <c r="AM5">
        <v>2025</v>
      </c>
      <c r="AN5" t="s">
        <v>442</v>
      </c>
      <c r="AO5">
        <v>1</v>
      </c>
    </row>
    <row r="6" spans="1:55" x14ac:dyDescent="0.25">
      <c r="A6" t="s">
        <v>1</v>
      </c>
      <c r="B6" t="s">
        <v>74</v>
      </c>
      <c r="C6" t="s">
        <v>433</v>
      </c>
      <c r="D6" t="s">
        <v>164</v>
      </c>
      <c r="E6" t="s">
        <v>434</v>
      </c>
      <c r="F6" t="s">
        <v>307</v>
      </c>
      <c r="G6" t="s">
        <v>76</v>
      </c>
      <c r="H6" t="s">
        <v>290</v>
      </c>
      <c r="I6" t="s">
        <v>291</v>
      </c>
      <c r="J6" t="s">
        <v>79</v>
      </c>
      <c r="K6" t="s">
        <v>80</v>
      </c>
      <c r="L6" t="s">
        <v>81</v>
      </c>
      <c r="M6" t="s">
        <v>102</v>
      </c>
      <c r="N6" t="s">
        <v>435</v>
      </c>
      <c r="O6">
        <v>3</v>
      </c>
      <c r="P6" t="s">
        <v>84</v>
      </c>
      <c r="Q6" t="s">
        <v>436</v>
      </c>
      <c r="R6" t="s">
        <v>303</v>
      </c>
      <c r="S6" t="s">
        <v>437</v>
      </c>
      <c r="T6" t="s">
        <v>438</v>
      </c>
      <c r="U6" t="s">
        <v>439</v>
      </c>
      <c r="X6"/>
      <c r="Z6"/>
      <c r="AA6" t="s">
        <v>440</v>
      </c>
      <c r="AB6" t="s">
        <v>128</v>
      </c>
      <c r="AC6" t="s">
        <v>90</v>
      </c>
      <c r="AE6"/>
      <c r="AK6" t="s">
        <v>441</v>
      </c>
      <c r="AL6" t="s">
        <v>301</v>
      </c>
      <c r="AM6">
        <v>2025</v>
      </c>
      <c r="AN6" t="s">
        <v>443</v>
      </c>
      <c r="AO6">
        <v>0</v>
      </c>
    </row>
    <row r="7" spans="1:55" x14ac:dyDescent="0.25">
      <c r="A7" t="s">
        <v>1</v>
      </c>
      <c r="B7" t="s">
        <v>74</v>
      </c>
      <c r="C7" t="s">
        <v>444</v>
      </c>
      <c r="D7"/>
      <c r="E7"/>
      <c r="F7" t="s">
        <v>445</v>
      </c>
      <c r="G7" t="s">
        <v>120</v>
      </c>
      <c r="H7" t="s">
        <v>446</v>
      </c>
      <c r="I7" t="s">
        <v>447</v>
      </c>
      <c r="J7" t="s">
        <v>79</v>
      </c>
      <c r="K7" t="s">
        <v>80</v>
      </c>
      <c r="L7" t="s">
        <v>81</v>
      </c>
      <c r="M7" t="s">
        <v>448</v>
      </c>
      <c r="N7" t="s">
        <v>449</v>
      </c>
      <c r="O7">
        <v>4</v>
      </c>
      <c r="P7" t="s">
        <v>84</v>
      </c>
      <c r="Q7" t="s">
        <v>450</v>
      </c>
      <c r="S7" t="s">
        <v>451</v>
      </c>
      <c r="T7" t="s">
        <v>452</v>
      </c>
      <c r="U7" t="s">
        <v>453</v>
      </c>
      <c r="X7"/>
      <c r="Z7"/>
      <c r="AA7" t="s">
        <v>90</v>
      </c>
      <c r="AB7" t="s">
        <v>156</v>
      </c>
      <c r="AC7" t="s">
        <v>90</v>
      </c>
      <c r="AE7"/>
      <c r="AL7" t="s">
        <v>454</v>
      </c>
      <c r="AM7">
        <v>2025</v>
      </c>
      <c r="AN7" t="s">
        <v>444</v>
      </c>
      <c r="AO7">
        <v>1</v>
      </c>
    </row>
    <row r="8" spans="1:55" x14ac:dyDescent="0.25">
      <c r="A8" t="s">
        <v>1</v>
      </c>
      <c r="B8" t="s">
        <v>74</v>
      </c>
      <c r="C8" t="s">
        <v>455</v>
      </c>
      <c r="D8" t="s">
        <v>27</v>
      </c>
      <c r="E8" t="s">
        <v>456</v>
      </c>
      <c r="F8" t="s">
        <v>365</v>
      </c>
      <c r="G8" t="s">
        <v>120</v>
      </c>
      <c r="H8" t="s">
        <v>290</v>
      </c>
      <c r="I8" t="s">
        <v>291</v>
      </c>
      <c r="J8" t="s">
        <v>79</v>
      </c>
      <c r="K8" t="s">
        <v>80</v>
      </c>
      <c r="L8" t="s">
        <v>81</v>
      </c>
      <c r="M8" t="s">
        <v>457</v>
      </c>
      <c r="N8" t="s">
        <v>101</v>
      </c>
      <c r="O8">
        <v>1</v>
      </c>
      <c r="P8" t="s">
        <v>84</v>
      </c>
      <c r="Q8" t="s">
        <v>417</v>
      </c>
      <c r="R8" t="s">
        <v>295</v>
      </c>
      <c r="S8" t="s">
        <v>341</v>
      </c>
      <c r="T8" t="s">
        <v>458</v>
      </c>
      <c r="U8" t="s">
        <v>459</v>
      </c>
      <c r="X8"/>
      <c r="Z8"/>
      <c r="AA8" t="s">
        <v>377</v>
      </c>
      <c r="AB8" t="s">
        <v>142</v>
      </c>
      <c r="AC8" t="s">
        <v>90</v>
      </c>
      <c r="AE8"/>
      <c r="AK8" t="s">
        <v>460</v>
      </c>
      <c r="AL8" t="s">
        <v>301</v>
      </c>
      <c r="AM8">
        <v>2025</v>
      </c>
      <c r="AN8" t="s">
        <v>461</v>
      </c>
      <c r="AO8">
        <v>1</v>
      </c>
    </row>
    <row r="9" spans="1:55" x14ac:dyDescent="0.25">
      <c r="A9" t="s">
        <v>1</v>
      </c>
      <c r="B9" t="s">
        <v>74</v>
      </c>
      <c r="C9" t="s">
        <v>455</v>
      </c>
      <c r="D9" t="s">
        <v>164</v>
      </c>
      <c r="E9" t="s">
        <v>456</v>
      </c>
      <c r="F9" t="s">
        <v>365</v>
      </c>
      <c r="G9" t="s">
        <v>120</v>
      </c>
      <c r="H9" t="s">
        <v>290</v>
      </c>
      <c r="I9" t="s">
        <v>291</v>
      </c>
      <c r="J9" t="s">
        <v>79</v>
      </c>
      <c r="K9" t="s">
        <v>80</v>
      </c>
      <c r="L9" t="s">
        <v>81</v>
      </c>
      <c r="M9" t="s">
        <v>457</v>
      </c>
      <c r="N9" t="s">
        <v>101</v>
      </c>
      <c r="O9">
        <v>1</v>
      </c>
      <c r="P9" t="s">
        <v>84</v>
      </c>
      <c r="Q9" t="s">
        <v>417</v>
      </c>
      <c r="R9" t="s">
        <v>303</v>
      </c>
      <c r="S9" t="s">
        <v>341</v>
      </c>
      <c r="T9" t="s">
        <v>458</v>
      </c>
      <c r="U9" t="s">
        <v>459</v>
      </c>
      <c r="X9"/>
      <c r="Z9"/>
      <c r="AA9" t="s">
        <v>377</v>
      </c>
      <c r="AB9" t="s">
        <v>142</v>
      </c>
      <c r="AC9" t="s">
        <v>90</v>
      </c>
      <c r="AE9"/>
      <c r="AK9" t="s">
        <v>460</v>
      </c>
      <c r="AL9" t="s">
        <v>301</v>
      </c>
      <c r="AM9">
        <v>2025</v>
      </c>
      <c r="AN9" t="s">
        <v>462</v>
      </c>
      <c r="AO9">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Summary By Policy Year</vt:lpstr>
      <vt:lpstr>Chart</vt:lpstr>
      <vt:lpstr>Claims Data</vt:lpstr>
      <vt:lpstr>Record 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KARDOES, RYAN M</dc:creator>
  <cp:lastModifiedBy>DEPAOLO, WALTER J</cp:lastModifiedBy>
  <dcterms:created xsi:type="dcterms:W3CDTF">2026-04-07T10:58:36Z</dcterms:created>
  <dcterms:modified xsi:type="dcterms:W3CDTF">2026-07-09T17:27:18Z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b46232a-0f0d-4ce8-9d40-3bdbc6125f3b_Enabled">
    <vt:lpwstr>true</vt:lpwstr>
  </property>
  <property fmtid="{D5CDD505-2E9C-101B-9397-08002B2CF9AE}" pid="3" name="MSIP_Label_3b46232a-0f0d-4ce8-9d40-3bdbc6125f3b_SetDate">
    <vt:lpwstr>2026-07-09T17:06:47Z</vt:lpwstr>
  </property>
  <property fmtid="{D5CDD505-2E9C-101B-9397-08002B2CF9AE}" pid="4" name="MSIP_Label_3b46232a-0f0d-4ce8-9d40-3bdbc6125f3b_Method">
    <vt:lpwstr>Privileged</vt:lpwstr>
  </property>
  <property fmtid="{D5CDD505-2E9C-101B-9397-08002B2CF9AE}" pid="5" name="MSIP_Label_3b46232a-0f0d-4ce8-9d40-3bdbc6125f3b_Name">
    <vt:lpwstr>Confidential</vt:lpwstr>
  </property>
  <property fmtid="{D5CDD505-2E9C-101B-9397-08002B2CF9AE}" pid="6" name="MSIP_Label_3b46232a-0f0d-4ce8-9d40-3bdbc6125f3b_SiteId">
    <vt:lpwstr>3ea62a99-e446-48ea-b404-0ac8d9c9b14a</vt:lpwstr>
  </property>
  <property fmtid="{D5CDD505-2E9C-101B-9397-08002B2CF9AE}" pid="7" name="MSIP_Label_3b46232a-0f0d-4ce8-9d40-3bdbc6125f3b_ActionId">
    <vt:lpwstr>3216f888-b6e9-4f29-bf88-36c404406b7e</vt:lpwstr>
  </property>
  <property fmtid="{D5CDD505-2E9C-101B-9397-08002B2CF9AE}" pid="8" name="MSIP_Label_3b46232a-0f0d-4ce8-9d40-3bdbc6125f3b_ContentBits">
    <vt:lpwstr>0</vt:lpwstr>
  </property>
  <property fmtid="{D5CDD505-2E9C-101B-9397-08002B2CF9AE}" pid="9" name="MSIP_Label_3b46232a-0f0d-4ce8-9d40-3bdbc6125f3b_Tag">
    <vt:lpwstr>10, 0, 1, 1</vt:lpwstr>
  </property>
</Properties>
</file>