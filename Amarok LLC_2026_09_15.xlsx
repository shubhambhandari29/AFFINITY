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drawings/drawing2.xml" ContentType="application/vnd.openxmlformats-officedocument.drawing+xml"/>
  <Override PartName="/xl/pivotTables/pivotTable2.xml" ContentType="application/vnd.openxmlformats-officedocument.spreadsheetml.pivotTable+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 windowWidth="38700" windowHeight="15225" tabRatio="600" firstSheet="0" activeTab="0" autoFilterDateGrouping="1"/>
  </bookViews>
  <sheets>
    <sheet name="Cover Page" sheetId="1" state="visible" r:id="rId1"/>
    <sheet name="Summary By Policy Year" sheetId="2" state="visible" r:id="rId2"/>
    <sheet name="Chart" sheetId="3" state="visible" r:id="rId3"/>
    <sheet name="Claims Data" sheetId="4" state="visible" r:id="rId4"/>
    <sheet name="Record Only" sheetId="5" state="visible" r:id="rId5"/>
  </sheets>
  <definedNames/>
  <calcPr calcId="191029" fullCalcOnLoad="1"/>
  <pivotCaches>
    <pivotCache cacheId="17" r:id="rId6"/>
  </pivotCaches>
</workbook>
</file>

<file path=xl/styles.xml><?xml version="1.0" encoding="utf-8"?>
<styleSheet xmlns="http://schemas.openxmlformats.org/spreadsheetml/2006/main">
  <numFmts count="3">
    <numFmt numFmtId="164" formatCode="[$-409]d\-mmm\-yy;@"/>
    <numFmt numFmtId="165" formatCode="yyyy\-mm\-dd"/>
    <numFmt numFmtId="166" formatCode="&quot;$&quot;#,##0.00"/>
  </numFmts>
  <fonts count="5">
    <font>
      <name val="Aptos Narrow"/>
      <family val="2"/>
      <color theme="1"/>
      <sz val="11"/>
      <scheme val="minor"/>
    </font>
    <font>
      <name val="Aptos Narrow"/>
      <family val="2"/>
      <color theme="1"/>
      <sz val="11"/>
      <scheme val="minor"/>
    </font>
    <font>
      <name val="Aptos Narrow"/>
      <family val="2"/>
      <b val="1"/>
      <color theme="1"/>
      <sz val="11"/>
      <scheme val="minor"/>
    </font>
    <font>
      <name val="Calibri"/>
      <family val="2"/>
      <b val="1"/>
      <color indexed="8"/>
      <sz val="11"/>
    </font>
    <font>
      <name val="Verdana"/>
      <family val="2"/>
      <color indexed="8"/>
      <sz val="10"/>
    </font>
  </fonts>
  <fills count="3">
    <fill>
      <patternFill/>
    </fill>
    <fill>
      <patternFill patternType="gray125"/>
    </fill>
    <fill>
      <patternFill patternType="solid">
        <fgColor theme="2" tint="-0.0999786370433668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right/>
      <top style="thin">
        <color indexed="8"/>
      </top>
      <bottom/>
      <diagonal/>
    </border>
    <border>
      <left/>
      <right style="thin">
        <color indexed="8"/>
      </right>
      <top style="thin">
        <color indexed="8"/>
      </top>
      <bottom/>
      <diagonal/>
    </border>
  </borders>
  <cellStyleXfs count="2">
    <xf numFmtId="0" fontId="1" fillId="0" borderId="0"/>
    <xf numFmtId="44" fontId="1" fillId="0" borderId="0"/>
  </cellStyleXfs>
  <cellXfs count="34">
    <xf numFmtId="0" fontId="0" fillId="0" borderId="0" pivotButton="0" quotePrefix="0" xfId="0"/>
    <xf numFmtId="0" fontId="3" fillId="0" borderId="1" applyAlignment="1" pivotButton="0" quotePrefix="0" xfId="0">
      <alignment horizontal="left" vertical="center"/>
    </xf>
    <xf numFmtId="49" fontId="3" fillId="0" borderId="1" applyAlignment="1" pivotButton="0" quotePrefix="0" xfId="0">
      <alignment vertical="center"/>
    </xf>
    <xf numFmtId="22" fontId="0" fillId="0" borderId="0" pivotButton="0" quotePrefix="0" xfId="0"/>
    <xf numFmtId="164" fontId="4" fillId="0" borderId="0" pivotButton="0" quotePrefix="0" xfId="0"/>
    <xf numFmtId="165" fontId="0" fillId="0" borderId="0" pivotButton="0" quotePrefix="0" xfId="0"/>
    <xf numFmtId="166" fontId="0" fillId="0" borderId="0" pivotButton="0" quotePrefix="0" xfId="0"/>
    <xf numFmtId="0" fontId="0" fillId="0" borderId="4" pivotButton="0" quotePrefix="0" xfId="0"/>
    <xf numFmtId="14" fontId="0" fillId="0" borderId="4" pivotButton="0" quotePrefix="0" xfId="0"/>
    <xf numFmtId="166" fontId="0" fillId="0" borderId="4" pivotButton="0" quotePrefix="0" xfId="0"/>
    <xf numFmtId="166" fontId="0" fillId="0" borderId="5" pivotButton="0" quotePrefix="0" xfId="0"/>
    <xf numFmtId="166" fontId="0" fillId="0" borderId="6" pivotButton="0" quotePrefix="0" xfId="0"/>
    <xf numFmtId="0" fontId="0" fillId="0" borderId="7" pivotButton="0" quotePrefix="0" xfId="0"/>
    <xf numFmtId="0" fontId="0" fillId="0" borderId="8" pivotButton="0" quotePrefix="0" xfId="0"/>
    <xf numFmtId="166" fontId="0" fillId="0" borderId="7" pivotButton="0" quotePrefix="0" xfId="0"/>
    <xf numFmtId="166" fontId="0" fillId="0" borderId="9" pivotButton="0" quotePrefix="0" xfId="0"/>
    <xf numFmtId="166" fontId="0" fillId="0" borderId="10" pivotButton="0" quotePrefix="0" xfId="0"/>
    <xf numFmtId="0" fontId="0" fillId="0" borderId="11" pivotButton="1" quotePrefix="0" xfId="0"/>
    <xf numFmtId="0" fontId="0" fillId="0" borderId="11" pivotButton="0" quotePrefix="0" xfId="0"/>
    <xf numFmtId="0" fontId="2" fillId="2" borderId="4" pivotButton="0" quotePrefix="0" xfId="0"/>
    <xf numFmtId="14" fontId="3" fillId="0" borderId="1" applyAlignment="1" pivotButton="0" quotePrefix="0" xfId="0">
      <alignment horizontal="left" vertical="center"/>
    </xf>
    <xf numFmtId="0" fontId="0" fillId="0" borderId="0" pivotButton="0" quotePrefix="0" xfId="0"/>
    <xf numFmtId="0" fontId="0" fillId="0" borderId="0" pivotButton="1" quotePrefix="0" xfId="0"/>
    <xf numFmtId="0" fontId="0" fillId="0" borderId="0" pivotButton="0" quotePrefix="0" xfId="1"/>
    <xf numFmtId="14" fontId="0" fillId="0" borderId="0" pivotButton="0" quotePrefix="0" xfId="0"/>
    <xf numFmtId="0" fontId="2" fillId="2" borderId="4" pivotButton="0" quotePrefix="0" xfId="0"/>
    <xf numFmtId="0" fontId="2" fillId="2" borderId="5" pivotButton="0" quotePrefix="0" xfId="0"/>
    <xf numFmtId="0" fontId="2" fillId="2" borderId="6" pivotButton="0" quotePrefix="0" xfId="0"/>
    <xf numFmtId="0" fontId="0" fillId="0" borderId="0" applyAlignment="1" pivotButton="0" quotePrefix="0" xfId="0">
      <alignment horizontal="left"/>
    </xf>
    <xf numFmtId="0" fontId="0" fillId="0" borderId="0" pivotButton="0" quotePrefix="0" xfId="0"/>
    <xf numFmtId="0" fontId="0" fillId="0" borderId="0" applyAlignment="1" pivotButton="0" quotePrefix="0" xfId="0">
      <alignment horizontal="left"/>
    </xf>
    <xf numFmtId="0" fontId="0" fillId="0" borderId="0" pivotButton="0" quotePrefix="0" xfId="0"/>
    <xf numFmtId="0" fontId="0" fillId="0" borderId="2" applyAlignment="1" pivotButton="0" quotePrefix="0" xfId="0">
      <alignment horizontal="left" vertical="center" wrapText="1"/>
    </xf>
    <xf numFmtId="0" fontId="0" fillId="0" borderId="3" pivotButton="0" quotePrefix="0" xfId="0"/>
  </cellXfs>
  <cellStyles count="2">
    <cellStyle name="Normal" xfId="0" builtinId="0"/>
    <cellStyle name="Currency" xfId="1" builtinId="4"/>
  </cellStyles>
  <dxfs count="161">
    <dxf>
      <font>
        <b val="1"/>
      </font>
      <fill>
        <patternFill patternType="solid">
          <fgColor indexed="64"/>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ont>
        <b val="1"/>
      </font>
      <fill>
        <patternFill patternType="solid">
          <fgColor indexed="64"/>
          <bgColor theme="2" tint="-0.09997863704336681"/>
        </patternFill>
      </fil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Aptos Narrow"/>
        <family val="2"/>
        <strike val="0"/>
        <outline val="0"/>
        <shadow val="0"/>
        <condense val="0"/>
        <color theme="1"/>
        <extend val="0"/>
        <sz val="11"/>
        <vertAlign val="baseline"/>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1"/>
      </font>
      <fill>
        <patternFill patternType="solid">
          <fgColor indexed="64"/>
          <bgColor theme="2" tint="-0.09997863704336681"/>
        </patternFill>
      </fill>
    </dxf>
    <dxf>
      <alignment/>
    </dxf>
    <dxf>
      <font>
        <b val="1"/>
      </font>
      <fill>
        <patternFill patternType="solid">
          <fgColor indexed="64"/>
          <bgColor theme="2" tint="-0.09997863704336681"/>
        </patternFill>
      </fill>
    </dxf>
    <dxf>
      <font>
        <b val="1"/>
      </font>
      <fill>
        <patternFill patternType="solid">
          <fgColor indexed="64"/>
          <bgColor theme="2" tint="-0.09997863704336681"/>
        </patternFill>
      </fill>
    </dxf>
    <dxf>
      <font>
        <b val="1"/>
      </font>
    </dxf>
    <dxf>
      <font>
        <b val="1"/>
      </font>
    </dxf>
    <dxf>
      <font>
        <b val="1"/>
      </font>
    </dxf>
    <dxf>
      <font>
        <b val="1"/>
      </font>
    </dxf>
    <dxf>
      <font>
        <b val="1"/>
      </font>
    </dxf>
    <dxf>
      <font>
        <b val="1"/>
      </font>
    </dxf>
    <dxf>
      <font>
        <b val="1"/>
      </font>
    </dxf>
    <dxf>
      <font>
        <b val="1"/>
      </font>
    </dxf>
    <dxf>
      <font>
        <b val="1"/>
      </font>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
      <fill>
        <patternFill patternType="solid">
          <bgColor theme="2" tint="-0.0999786370433668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pivotSource>
    <name>[SACLossRunTemplate.xlsx]Chart!PivotTable7</name>
    <fmtId val="0"/>
  </pivotSource>
  <chart>
    <pivotFmts>
      <pivotFmt>
        <idx val="0"/>
        <spPr>
          <a:solidFill>
            <a:schemeClr val="accent1"/>
          </a:solidFill>
          <a:ln>
            <a:noFill/>
            <a:prstDash val="solid"/>
          </a:ln>
        </spPr>
        <marker>
          <symbol val="none"/>
          <spPr>
            <a:ln>
              <a:prstDash val="solid"/>
            </a:ln>
          </spPr>
        </marker>
        <dLbl>
          <idx val="0"/>
          <spPr>
            <a:solidFill>
              <a:schemeClr val="bg1"/>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dLbl>
      </pivotFmt>
      <pivotFmt>
        <idx val="1"/>
        <spPr>
          <a:ln w="28575" cap="rnd">
            <a:solidFill>
              <a:schemeClr val="accent1"/>
            </a:solidFill>
            <a:prstDash val="solid"/>
            <a:round/>
          </a:ln>
        </spPr>
        <marker>
          <symbol val="none"/>
          <spPr>
            <a:ln>
              <a:prstDash val="solid"/>
            </a:ln>
          </spPr>
        </marker>
        <dLbl>
          <idx val="0"/>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dLbl>
      </pivotFmt>
      <pivotFmt>
        <idx val="2"/>
        <dLbl>
          <idx val="0"/>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en-US"/>
            </a:p>
          </txPr>
          <showLegendKey val="1"/>
          <showVal val="1"/>
          <showCatName val="1"/>
          <showSerName val="1"/>
          <showPercent val="1"/>
          <showBubbleSize val="1"/>
        </dLbl>
      </pivotFmt>
    </pivotFmts>
    <plotArea>
      <layout/>
      <barChart>
        <barDir val="col"/>
        <grouping val="clustered"/>
        <varyColors val="0"/>
        <ser>
          <idx val="0"/>
          <order val="0"/>
          <tx>
            <strRef>
              <f>Chart!$B$1</f>
              <strCache>
                <ptCount val="1"/>
                <pt idx="0">
                  <v>Number of Claims</v>
                </pt>
              </strCache>
            </strRef>
          </tx>
          <spPr>
            <a:solidFill>
              <a:schemeClr val="accent1"/>
            </a:solidFill>
            <a:ln>
              <a:noFill/>
              <a:prstDash val="solid"/>
            </a:ln>
          </spPr>
          <invertIfNegative val="0"/>
          <dLbls>
            <spPr>
              <a:solidFill>
                <a:schemeClr val="bg1"/>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showLeaderLines val="0"/>
          </dLbls>
          <cat>
            <strRef>
              <f>Chart!$A$2:$A$3</f>
              <strCache>
                <ptCount val="1"/>
                <pt idx="0">
                  <v>2020</v>
                </pt>
              </strCache>
            </strRef>
          </cat>
          <val>
            <numRef>
              <f>Chart!$B$2:$B$3</f>
              <numCache>
                <formatCode>General</formatCode>
                <ptCount val="1"/>
                <pt idx="0">
                  <v>1</v>
                </pt>
              </numCache>
            </numRef>
          </val>
        </ser>
        <dLbls>
          <dLblPos val="ctr"/>
          <showLegendKey val="0"/>
          <showVal val="1"/>
          <showCatName val="0"/>
          <showSerName val="0"/>
          <showPercent val="0"/>
          <showBubbleSize val="0"/>
        </dLbls>
        <gapWidth val="219"/>
        <overlap val="-27"/>
        <axId val="2104105008"/>
        <axId val="2104106448"/>
      </barChart>
      <lineChart>
        <grouping val="standard"/>
        <varyColors val="0"/>
        <ser>
          <idx val="1"/>
          <order val="1"/>
          <tx>
            <strRef>
              <f>Chart!$C$1</f>
              <strCache>
                <ptCount val="1"/>
                <pt idx="0">
                  <v>Sum of Total Incurred</v>
                </pt>
              </strCache>
            </strRef>
          </tx>
          <spPr>
            <a:ln w="28575" cap="rnd">
              <a:solidFill>
                <a:schemeClr val="accent2"/>
              </a:solidFill>
              <a:prstDash val="solid"/>
              <a:round/>
            </a:ln>
          </spPr>
          <marker>
            <symbol val="none"/>
            <spPr>
              <a:ln>
                <a:prstDash val="solid"/>
              </a:ln>
            </spPr>
          </marker>
          <dLbls>
            <spPr>
              <a:solidFill>
                <a:schemeClr val="accent2"/>
              </a:solid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r>
                  <a:t/>
                </a:r>
                <a:endParaRPr lang="en-US"/>
              </a:p>
            </txPr>
            <dLblPos val="ctr"/>
            <showLegendKey val="0"/>
            <showVal val="1"/>
            <showCatName val="0"/>
            <showSerName val="0"/>
            <showPercent val="0"/>
            <showBubbleSize val="0"/>
            <showLeaderLines val="0"/>
          </dLbls>
          <cat>
            <strRef>
              <f>Chart!$A$2:$A$3</f>
              <strCache>
                <ptCount val="1"/>
                <pt idx="0">
                  <v>2020</v>
                </pt>
              </strCache>
            </strRef>
          </cat>
          <val>
            <numRef>
              <f>Chart!$C$2:$C$3</f>
              <numCache>
                <formatCode>"$"#,##0.00</formatCode>
                <ptCount val="1"/>
                <pt idx="0">
                  <v>10</v>
                </pt>
              </numCache>
            </numRef>
          </val>
          <smooth val="0"/>
        </ser>
        <dLbls>
          <dLblPos val="ctr"/>
          <showLegendKey val="0"/>
          <showVal val="1"/>
          <showCatName val="0"/>
          <showSerName val="0"/>
          <showPercent val="0"/>
          <showBubbleSize val="0"/>
        </dLbls>
        <marker val="1"/>
        <smooth val="0"/>
        <axId val="2104088208"/>
        <axId val="2104085808"/>
      </lineChart>
      <catAx>
        <axId val="2104105008"/>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106448"/>
        <crosses val="autoZero"/>
        <auto val="1"/>
        <lblAlgn val="ctr"/>
        <lblOffset val="100"/>
        <noMultiLvlLbl val="0"/>
      </catAx>
      <valAx>
        <axId val="2104106448"/>
        <scaling>
          <orientation val="minMax"/>
        </scaling>
        <delete val="0"/>
        <axPos val="l"/>
        <majorGridlines>
          <spPr>
            <a:l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105008"/>
        <crosses val="autoZero"/>
        <crossBetween val="between"/>
      </valAx>
      <catAx>
        <axId val="2104088208"/>
        <scaling>
          <orientation val="minMax"/>
        </scaling>
        <delete val="1"/>
        <axPos val="b"/>
        <numFmt formatCode="General" sourceLinked="1"/>
        <majorTickMark val="out"/>
        <minorTickMark val="none"/>
        <tickLblPos val="nextTo"/>
        <crossAx val="2104085808"/>
        <crosses val="autoZero"/>
        <auto val="1"/>
        <lblAlgn val="ctr"/>
        <lblOffset val="100"/>
        <noMultiLvlLbl val="0"/>
      </catAx>
      <valAx>
        <axId val="2104085808"/>
        <scaling>
          <orientation val="minMax"/>
        </scaling>
        <delete val="0"/>
        <axPos val="r"/>
        <numFmt formatCode="&quot;$&quot;#,##0.0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crossAx val="2104088208"/>
        <crosses val="max"/>
        <crossBetween val="between"/>
      </valAx>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0</colOff>
      <row>0</row>
      <rowOff>0</rowOff>
    </from>
    <to>
      <col>2</col>
      <colOff>0</colOff>
      <row>0</row>
      <rowOff>1638300</rowOff>
    </to>
    <pic>
      <nvPicPr>
        <cNvPr id="2" name="Picture 2" descr="image003"/>
        <cNvPicPr>
          <a:picLocks noChangeAspect="1" noChangeArrowheads="1"/>
        </cNvPicPr>
      </nvPicPr>
      <blipFill>
        <a:blip r:embed="rId1"/>
        <a:srcRect/>
        <a:stretch>
          <a:fillRect/>
        </a:stretch>
      </blipFill>
      <spPr bwMode="auto">
        <a:xfrm>
          <a:off x="0" y="0"/>
          <a:ext cx="8448675" cy="1638300"/>
        </a:xfrm>
        <a:prstGeom prst="rect">
          <avLst/>
        </a:prstGeom>
        <a:noFill/>
        <a:ln>
          <a:noFill/>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562926</colOff>
      <row>6</row>
      <rowOff>76199</rowOff>
    </from>
    <to>
      <col>20</col>
      <colOff>342899</colOff>
      <row>27</row>
      <rowOff>19049</rowOff>
    </to>
    <graphicFrame>
      <nvGraphicFramePr>
        <cNvPr id="1" name="Chart 1"/>
        <cNvGraphicFramePr/>
      </nvGraphicFramePr>
      <xfrm/>
      <a:graphic>
        <a:graphicData uri="http://schemas.openxmlformats.org/drawingml/2006/chart">
          <c:chart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1" refreshedBy="KARDOES, RYAN M" refreshedDate="46196.41792025463" createdVersion="8" refreshedVersion="8" minRefreshableVersion="3" recordCount="1" r:id="rId1">
  <cacheSource type="worksheet">
    <worksheetSource name="ClaimsData"/>
  </cacheSource>
  <cacheFields count="56">
    <cacheField name="Customer Number" uniqueList="1" numFmtId="0" sqlType="0" hierarchy="0" level="0" databaseField="1">
      <sharedItems count="0"/>
    </cacheField>
    <cacheField name="Policy Insured Name" uniqueList="1" numFmtId="0" sqlType="0" hierarchy="0" level="0" databaseField="1">
      <sharedItems count="0"/>
    </cacheField>
    <cacheField name="Claim Number" uniqueList="1" numFmtId="0" sqlType="0" hierarchy="0" level="0" databaseField="1">
      <sharedItems count="3">
        <s v="00-01010101"/>
        <s v="00-01010100" u="1"/>
        <s v="00-01010102" u="1"/>
      </sharedItems>
    </cacheField>
    <cacheField name="Exposure" uniqueList="1" numFmtId="0" sqlType="0" hierarchy="0" level="0" databaseField="1">
      <sharedItems count="1">
        <s v="01"/>
      </sharedItems>
    </cacheField>
    <cacheField name="Claimant Name" uniqueList="1" numFmtId="0" sqlType="0" hierarchy="0" level="0" databaseField="1">
      <sharedItems count="1">
        <s v="TEST"/>
      </sharedItems>
    </cacheField>
    <cacheField name="Account Location Identifier" uniqueList="1" numFmtId="0" sqlType="0" hierarchy="0" level="0" databaseField="1">
      <sharedItems count="1">
        <s v="TEST"/>
      </sharedItems>
    </cacheField>
    <cacheField name="Accident State" uniqueList="1" numFmtId="0" sqlType="0" hierarchy="0" level="0" databaseField="1">
      <sharedItems count="0"/>
    </cacheField>
    <cacheField name="Policy Symbol" uniqueList="1" numFmtId="0" sqlType="0" hierarchy="0" level="0" databaseField="1">
      <sharedItems count="1">
        <s v="ABC"/>
      </sharedItems>
    </cacheField>
    <cacheField name="Policy Number" uniqueList="1" numFmtId="0" sqlType="0" hierarchy="0" level="0" databaseField="1">
      <sharedItems count="0"/>
    </cacheField>
    <cacheField name="Policy MOD" uniqueList="1" numFmtId="0" sqlType="0" hierarchy="0" level="0" databaseField="1">
      <sharedItems count="0"/>
    </cacheField>
    <cacheField name="Policy Effective Date" uniqueList="1" numFmtId="14" sqlType="0" hierarchy="0" level="0" databaseField="1">
      <sharedItems count="2" containsDate="1" containsNonDate="0" containsSemiMixedTypes="0" containsString="0" minDate="2001-01-01T00:00:00" maxDate="2020-01-02T00:00:00">
        <d v="2020-01-01T00:00:00"/>
        <d v="2001-01-01T00:00:00" u="1"/>
      </sharedItems>
    </cacheField>
    <cacheField name="Policy Expiration Date" uniqueList="1" numFmtId="14" sqlType="0" hierarchy="0" level="0" databaseField="1">
      <sharedItems count="0" containsDate="1" containsNonDate="0" containsSemiMixedTypes="0" containsString="0" minDate="2020-01-01T00:00:00" maxDate="2020-01-02T00:00:00"/>
    </cacheField>
    <cacheField name="Loss Date" uniqueList="1" numFmtId="14" sqlType="0" hierarchy="0" level="0" databaseField="1">
      <sharedItems count="0" containsDate="1" containsNonDate="0" containsSemiMixedTypes="0" containsString="0" minDate="2020-01-01T00:00:00" maxDate="2020-01-02T00:00:00"/>
    </cacheField>
    <cacheField name="Date of Notice" uniqueList="1" numFmtId="14" sqlType="0" hierarchy="0" level="0" databaseField="1">
      <sharedItems count="0" containsDate="1" containsNonDate="0" containsSemiMixedTypes="0" containsString="0" minDate="2020-01-01T00:00:00" maxDate="2020-01-02T00:00:00"/>
    </cacheField>
    <cacheField name="Lag Time" uniqueList="1" numFmtId="0" sqlType="0" hierarchy="0" level="0" databaseField="1">
      <sharedItems count="0" containsInteger="1" containsNumber="1" containsSemiMixedTypes="0" containsString="0" minValue="10" maxValue="10"/>
    </cacheField>
    <cacheField name="Claim Status" uniqueList="1" numFmtId="0" sqlType="0" hierarchy="0" level="0" databaseField="1">
      <sharedItems count="1">
        <s v="TEST"/>
      </sharedItems>
    </cacheField>
    <cacheField name="Claim Closed Date" uniqueList="1" numFmtId="14" sqlType="0" hierarchy="0" level="0" databaseField="1">
      <sharedItems count="0" containsDate="1" containsNonDate="0" containsSemiMixedTypes="0" containsString="0" minDate="2020-01-01T00:00:00" maxDate="2020-01-02T00:00:00"/>
    </cacheField>
    <cacheField name="Coverage" uniqueList="1" numFmtId="0" sqlType="0" hierarchy="0" level="0" databaseField="1">
      <sharedItems count="0"/>
    </cacheField>
    <cacheField name="Outstanding Loss Reserve" uniqueList="1" numFmtId="0" sqlType="0" hierarchy="0" level="0" databaseField="1">
      <sharedItems count="0" containsInteger="1" containsNumber="1" containsSemiMixedTypes="0" containsString="0" minValue="10" maxValue="10"/>
    </cacheField>
    <cacheField name="Total Paid Loss Net Salvage/Subro/Loss Recovery" uniqueList="1" numFmtId="0" sqlType="0" hierarchy="0" level="0" databaseField="1">
      <sharedItems count="0" containsInteger="1" containsNumber="1" containsSemiMixedTypes="0" containsString="0" minValue="10" maxValue="10"/>
    </cacheField>
    <cacheField name="Incurred w/o ALAE" uniqueList="1" numFmtId="0" sqlType="0" hierarchy="0" level="0" databaseField="1">
      <sharedItems count="0" containsInteger="1" containsNumber="1" containsSemiMixedTypes="0" containsString="0" minValue="10" maxValue="10"/>
    </cacheField>
    <cacheField name="ALAE Reserve" uniqueList="1" numFmtId="0" sqlType="0" hierarchy="0" level="0" databaseField="1">
      <sharedItems count="0" containsInteger="1" containsNumber="1" containsSemiMixedTypes="0" containsString="0" minValue="10" maxValue="10"/>
    </cacheField>
    <cacheField name="ALAE Paid" uniqueList="1" numFmtId="0" sqlType="0" hierarchy="0" level="0" databaseField="1">
      <sharedItems count="0" containsInteger="1" containsNumber="1" containsSemiMixedTypes="0" containsString="0" minValue="10" maxValue="10"/>
    </cacheField>
    <cacheField name="Total Incurred + ALAE" uniqueList="1" numFmtId="0" sqlType="0" hierarchy="0" level="0" databaseField="1">
      <sharedItems count="0" containsInteger="1" containsNumber="1" containsSemiMixedTypes="0" containsString="0" minValue="10" maxValue="10"/>
    </cacheField>
    <cacheField name="Salvage Recovery" uniqueList="1" numFmtId="0" sqlType="0" hierarchy="0" level="0" databaseField="1">
      <sharedItems count="0" containsInteger="1" containsNumber="1" containsSemiMixedTypes="0" containsString="0" minValue="10" maxValue="10"/>
    </cacheField>
    <cacheField name="Subro Recovery" uniqueList="1" numFmtId="0" sqlType="0" hierarchy="0" level="0" databaseField="1">
      <sharedItems count="0" containsInteger="1" containsNumber="1" containsSemiMixedTypes="0" containsString="0" minValue="10" maxValue="10"/>
    </cacheField>
    <cacheField name="Loss Recovery" uniqueList="1" numFmtId="0" sqlType="0" hierarchy="0" level="0" databaseField="1">
      <sharedItems count="0" containsInteger="1" containsNumber="1" containsSemiMixedTypes="0" containsString="0" minValue="10" maxValue="10"/>
    </cacheField>
    <cacheField name="Deductible Recovery" uniqueList="1" numFmtId="0" sqlType="0" hierarchy="0" level="0" databaseField="1">
      <sharedItems count="0" containsInteger="1" containsNumber="1" containsSemiMixedTypes="0" containsString="0" minValue="10" maxValue="10"/>
    </cacheField>
    <cacheField name="Expense Recovery" uniqueList="1" numFmtId="0" sqlType="0" hierarchy="0" level="0" databaseField="1">
      <sharedItems count="0" containsInteger="1" containsNumber="1" containsSemiMixedTypes="0" containsString="0" minValue="10" maxValue="10"/>
    </cacheField>
    <cacheField name="Litigation Status" uniqueList="1" numFmtId="0" sqlType="0" hierarchy="0" level="0" databaseField="1">
      <sharedItems count="1">
        <s v="TEST"/>
      </sharedItems>
    </cacheField>
    <cacheField name="Cause Of Loss" uniqueList="1" numFmtId="0" sqlType="0" hierarchy="0" level="0" databaseField="1">
      <sharedItems count="1">
        <s v="TEST"/>
      </sharedItems>
    </cacheField>
    <cacheField name="Description of Loss" uniqueList="1" numFmtId="0" sqlType="0" hierarchy="0" level="0" databaseField="1">
      <sharedItems count="1">
        <s v="TEST"/>
      </sharedItems>
    </cacheField>
    <cacheField name="Contributing Factor" uniqueList="1" numFmtId="0" sqlType="0" hierarchy="0" level="0" databaseField="1">
      <sharedItems count="1">
        <s v="TEST"/>
      </sharedItems>
    </cacheField>
    <cacheField name="Product" uniqueList="1" numFmtId="0" sqlType="0" hierarchy="0" level="0" databaseField="1">
      <sharedItems count="0"/>
    </cacheField>
    <cacheField name="Manufacturer" uniqueList="1" numFmtId="0" sqlType="0" hierarchy="0" level="0" databaseField="1">
      <sharedItems count="0"/>
    </cacheField>
    <cacheField name="Policy Region Description" uniqueList="1" numFmtId="0" sqlType="0" hierarchy="0" level="0" databaseField="1">
      <sharedItems count="0"/>
    </cacheField>
    <cacheField name="Policy Holder Retailer Desc" uniqueList="1" numFmtId="0" sqlType="0" hierarchy="0" level="0" databaseField="1">
      <sharedItems count="0"/>
    </cacheField>
    <cacheField name="Policy Holder Claim Number" uniqueList="1" numFmtId="0" sqlType="0" hierarchy="0" level="0" databaseField="1">
      <sharedItems count="0"/>
    </cacheField>
    <cacheField name="Occupation" uniqueList="1" numFmtId="0" sqlType="0" hierarchy="0" level="0" databaseField="1">
      <sharedItems count="0"/>
    </cacheField>
    <cacheField name="Accident Day Of Week" uniqueList="1" numFmtId="0" sqlType="0" hierarchy="0" level="0" databaseField="1">
      <sharedItems count="0"/>
    </cacheField>
    <cacheField name="Insured Driver" uniqueList="1" numFmtId="0" sqlType="0" hierarchy="0" level="0" databaseField="1">
      <sharedItems count="0"/>
    </cacheField>
    <cacheField name="Total Loss Indicator" uniqueList="1" numFmtId="0" sqlType="0" hierarchy="0" level="0" databaseField="1">
      <sharedItems count="0"/>
    </cacheField>
    <cacheField name="Vehicle Year" uniqueList="1" numFmtId="0" sqlType="0" hierarchy="0" level="0" databaseField="1">
      <sharedItems count="0" containsInteger="1" containsNumber="1" containsSemiMixedTypes="0" containsString="0" minValue="2020" maxValue="2020"/>
    </cacheField>
    <cacheField name="Vehicle Manufacturer" uniqueList="1" numFmtId="0" sqlType="0" hierarchy="0" level="0" databaseField="1">
      <sharedItems count="0"/>
    </cacheField>
    <cacheField name="Vehicle Model" uniqueList="1" numFmtId="0" sqlType="0" hierarchy="0" level="0" databaseField="1">
      <sharedItems count="0"/>
    </cacheField>
    <cacheField name="Vehicle ID Number" uniqueList="1" numFmtId="0" sqlType="0" hierarchy="0" level="0" databaseField="1">
      <sharedItems count="0"/>
    </cacheField>
    <cacheField name="Vehicle License Plate" uniqueList="1" numFmtId="0" sqlType="0" hierarchy="0" level="0" databaseField="1">
      <sharedItems count="0"/>
    </cacheField>
    <cacheField name="Vehicle License State" uniqueList="1" numFmtId="0" sqlType="0" hierarchy="0" level="0" databaseField="1">
      <sharedItems count="0"/>
    </cacheField>
    <cacheField name="Adjuster" uniqueList="1" numFmtId="0" sqlType="0" hierarchy="0" level="0" databaseField="1">
      <sharedItems count="0"/>
    </cacheField>
    <cacheField name="Record Only Indicator" uniqueList="1" numFmtId="0" sqlType="0" hierarchy="0" level="0" databaseField="1">
      <sharedItems count="0"/>
    </cacheField>
    <cacheField name="Policy" uniqueList="1" numFmtId="0" sqlType="0" hierarchy="0" level="0" databaseField="1">
      <sharedItems count="1">
        <s v="TEST"/>
      </sharedItems>
    </cacheField>
    <cacheField name="Policy Year" uniqueList="1" numFmtId="0" sqlType="0" hierarchy="0" level="0" databaseField="1">
      <sharedItems count="2" containsInteger="1" containsNumber="1" containsSemiMixedTypes="0" containsString="0" minValue="2001" maxValue="2020">
        <n v="2020"/>
        <n v="2001" u="1"/>
      </sharedItems>
    </cacheField>
    <cacheField name="Claims above 50K" uniqueList="1" numFmtId="0" sqlType="0" hierarchy="0" level="0" databaseField="1">
      <sharedItems count="1" containsInteger="1" containsNumber="1" containsSemiMixedTypes="0" containsString="0" minValue="0" maxValue="0">
        <n v="0"/>
      </sharedItems>
    </cacheField>
    <cacheField name="Claim Feature Number" uniqueList="1" numFmtId="0" sqlType="0" hierarchy="0" level="0" databaseField="1">
      <sharedItems count="0"/>
    </cacheField>
    <cacheField name="Total Incurred" uniqueList="1" numFmtId="0" sqlType="0" hierarchy="0" level="0" databaseField="1">
      <sharedItems count="0" containsInteger="1" containsNumber="1" containsSemiMixedTypes="0" containsString="0" minValue="10" maxValue="10"/>
    </cacheField>
    <cacheField name="Distinct Claim Helper" uniqueList="1" numFmtId="0" sqlType="0" hierarchy="0" level="0" databaseField="1">
      <sharedItems count="0" containsInteger="1" containsNumber="1" containsSemiMixedTypes="0" containsString="0" minValue="1" maxValue="1"/>
    </cacheField>
  </cacheFields>
</pivotCacheDefinition>
</file>

<file path=xl/pivotCache/pivotCacheRecords1.xml><?xml version="1.0" encoding="utf-8"?>
<pivotCacheRecords xmlns="http://schemas.openxmlformats.org/spreadsheetml/2006/main" count="1">
  <r>
    <s v="0101010101"/>
    <s v="TEST"/>
    <x v="0"/>
    <x v="0"/>
    <x v="0"/>
    <x v="0"/>
    <s v="TT"/>
    <x v="0"/>
    <s v="A010101"/>
    <s v="01"/>
    <x v="0"/>
    <d v="2020-01-01T00:00:00"/>
    <d v="2020-01-01T00:00:00"/>
    <d v="2020-01-01T00:00:00"/>
    <n v="10"/>
    <x v="0"/>
    <d v="2020-01-01T00:00:00"/>
    <s v="TEST"/>
    <n v="10"/>
    <n v="10"/>
    <n v="10"/>
    <n v="10"/>
    <n v="10"/>
    <n v="10"/>
    <n v="10"/>
    <n v="10"/>
    <n v="10"/>
    <n v="10"/>
    <n v="10"/>
    <x v="0"/>
    <x v="0"/>
    <x v="0"/>
    <x v="0"/>
    <s v="TEST"/>
    <s v="TEST"/>
    <s v="TEST"/>
    <s v="TEST"/>
    <s v="TEST"/>
    <s v="TEST"/>
    <s v="TEST"/>
    <s v="TEST"/>
    <s v="TEST"/>
    <n v="2020"/>
    <s v="TEST"/>
    <s v="TEST"/>
    <s v="TEST"/>
    <s v="TEST"/>
    <s v="TEST"/>
    <s v="TEST"/>
    <s v="TEST"/>
    <x v="0"/>
    <x v="0"/>
    <x v="0"/>
    <s v="TEST"/>
    <n v="10"/>
    <n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1"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N8" firstHeaderRow="0" firstDataRow="1" firstDataCol="9" rowPageCount="4" colPageCount="1"/>
  <pivotFields count="56">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ascending" defaultSubtotal="0">
      <items count="3">
        <item t="data" sd="1" m="1" x="1"/>
        <item t="data" sd="1" x="0"/>
        <item t="data" sd="1" m="1" x="2"/>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ascending" defaultSubtotal="0">
      <items count="1">
        <item t="data" sd="1" x="0"/>
      </items>
    </pivotField>
    <pivotField showDropDowns="1" compact="0"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numFmtId="14" outline="0" subtotalTop="0" dragToRow="1" dragToCol="1" dragToPage="1" dragToData="1" dragOff="1" showAll="0" topAutoShow="1" itemPageCount="10" sortType="ascending" defaultSubtotal="0">
      <items count="2">
        <item t="data" sd="1" m="1" x="1"/>
        <item t="data" sd="1" x="0"/>
      </items>
    </pivotField>
    <pivotField showDropDowns="1" compact="0" numFmtId="14" outline="0" subtotalTop="0" dragToRow="1" dragToCol="1" dragToPage="1" dragToData="1" dragOff="1" showAll="0" topAutoShow="1" itemPageCount="10" sortType="manual" defaultSubtotal="0"/>
    <pivotField showDropDowns="1" compact="0" numFmtId="14" outline="0" subtotalTop="0" dragToRow="1" dragToCol="1" dragToPage="1" dragToData="1" dragOff="1" showAll="0" topAutoShow="1" itemPageCount="10" sortType="manual" defaultSubtotal="0"/>
    <pivotField showDropDowns="1" compact="0" numFmtId="14" outline="0" subtotalTop="0" dragToRow="1" dragToCol="1" dragToPage="1" dragToData="1" dragOff="1" showAll="0" topAutoShow="1" itemPageCount="10" sortType="manual" defaultSubtotal="0"/>
    <pivotField showDropDowns="1" compact="0" numFmtId="1"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showDropDowns="1" compact="0" numFmtId="14"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dataField="1"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axis="axisPage"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axis="axisRow"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ascending" defaultSubtotal="0">
      <items count="1">
        <item t="data" sd="1" x="0"/>
      </items>
    </pivotField>
    <pivotField axis="axisRow" showDropDowns="1" compact="0" outline="0" subtotalTop="0" dragToRow="1" dragToCol="1" dragToPage="1" dragToData="1" dragOff="1" showAll="0" topAutoShow="1" itemPageCount="10" sortType="descending" defaultSubtotal="1">
      <items count="3">
        <item t="data" sd="1" x="0"/>
        <item t="data" sd="1" m="1" x="1"/>
        <item t="default" sd="1"/>
      </items>
    </pivotField>
    <pivotField axis="axisPage" showDropDowns="1" compact="0" outline="0" subtotalTop="0" dragToRow="1" dragToCol="1" dragToPage="1" dragToData="1" dragOff="1" showAll="0" topAutoShow="1" itemPageCount="10" sortType="manual" defaultSubtotal="0">
      <items count="1">
        <item t="data" sd="1" x="0"/>
      </items>
    </pivotField>
    <pivotField showDropDowns="1" compact="0" outline="0" subtotalTop="0" dragToRow="1" dragToCol="1" dragToPage="1" dragToData="1" dragOff="1" showAll="0" topAutoShow="1" itemPageCount="10" sortType="manual" defaultSubtotal="0"/>
    <pivotField showDropDowns="1" compact="0" numFmtId="166"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9">
    <field x="51"/>
    <field x="50"/>
    <field x="10"/>
    <field x="5"/>
    <field x="2"/>
    <field x="3"/>
    <field x="4"/>
    <field x="30"/>
    <field x="31"/>
  </rowFields>
  <rowItems count="2">
    <i t="data" r="0" i="0">
      <x v="0"/>
      <x v="0"/>
      <x v="1"/>
      <x v="0"/>
      <x v="1"/>
      <x v="0"/>
      <x v="0"/>
      <x v="0"/>
      <x v="0"/>
    </i>
    <i t="default" r="0" i="0">
      <x v="0"/>
    </i>
  </rowItems>
  <colFields count="1">
    <field x="-2"/>
  </colFields>
  <colItems count="5">
    <i t="data" r="0" i="0">
      <x v="0"/>
    </i>
    <i t="data" r="0" i="1">
      <x v="1"/>
    </i>
    <i t="data" r="0" i="2">
      <x v="2"/>
    </i>
    <i t="data" r="0" i="3">
      <x v="3"/>
    </i>
    <i t="data" r="0" i="4">
      <x v="4"/>
    </i>
  </colItems>
  <pageFields count="4">
    <pageField fld="7" hier="-1"/>
    <pageField fld="15" hier="-1"/>
    <pageField fld="29" hier="-1"/>
    <pageField fld="52" hier="-1"/>
  </pageFields>
  <dataFields count="5">
    <dataField name="$ Loss Reserve" fld="18" subtotal="sum" showDataAs="normal" baseField="32" baseItem="0" numFmtId="166"/>
    <dataField name="$ Total Paid" fld="19" subtotal="sum" showDataAs="normal" baseField="32" baseItem="0" numFmtId="166"/>
    <dataField name="$ ALAE Reserve" fld="21" subtotal="sum" showDataAs="normal" baseField="32" baseItem="0" numFmtId="166"/>
    <dataField name="$ ALAE Paid" fld="22" subtotal="sum" showDataAs="normal" baseField="32" baseItem="0" numFmtId="166"/>
    <dataField name="$ Total Incurred + ALAE" fld="23" subtotal="sum" showDataAs="normal" baseField="32" baseItem="0" numFmtId="166"/>
  </dataFields>
  <formats count="23">
    <format action="formatting" dxfId="160">
      <pivotArea field="51" type="button" dataOnly="0" labelOnly="1" outline="0" axis="axisRow" fieldPosition="0"/>
    </format>
    <format action="formatting" dxfId="159">
      <pivotArea field="50" type="button" dataOnly="0" labelOnly="1" outline="0" axis="axisRow" fieldPosition="1"/>
    </format>
    <format action="formatting" dxfId="158">
      <pivotArea field="10" type="button" dataOnly="0" labelOnly="1" outline="0" axis="axisRow" fieldPosition="2"/>
    </format>
    <format action="formatting" dxfId="157">
      <pivotArea field="5" type="button" dataOnly="0" labelOnly="1" outline="0" axis="axisRow" fieldPosition="3"/>
    </format>
    <format action="formatting" dxfId="156">
      <pivotArea field="2" type="button" dataOnly="0" labelOnly="1" outline="0" axis="axisRow" fieldPosition="4"/>
    </format>
    <format action="formatting" dxfId="155">
      <pivotArea field="30" type="button" dataOnly="0" labelOnly="1" outline="0" axis="axisRow" fieldPosition="7"/>
    </format>
    <format action="formatting" dxfId="154">
      <pivotArea field="31" type="button" dataOnly="0" labelOnly="1" outline="0" axis="axisRow" fieldPosition="8"/>
    </format>
    <format action="formatting" dxfId="153">
      <pivotArea field="32" type="button" dataOnly="0" labelOnly="1" outline="0"/>
    </format>
    <format action="formatting" dxfId="152">
      <pivotArea type="normal" dataOnly="0" labelOnly="1" outline="0" fieldPosition="0">
        <references count="1">
          <reference field="4294967294">
            <x v="0"/>
            <x v="2"/>
            <x v="3"/>
          </reference>
        </references>
      </pivotArea>
    </format>
    <format action="formatting" dxfId="151">
      <pivotArea field="51" type="button" dataOnly="0" labelOnly="1" outline="0" axis="axisRow" fieldPosition="0"/>
    </format>
    <format action="formatting" dxfId="150">
      <pivotArea field="50" type="button" dataOnly="0" labelOnly="1" outline="0" axis="axisRow" fieldPosition="1"/>
    </format>
    <format action="formatting" dxfId="149">
      <pivotArea field="10" type="button" dataOnly="0" labelOnly="1" outline="0" axis="axisRow" fieldPosition="2"/>
    </format>
    <format action="formatting" dxfId="148">
      <pivotArea field="5" type="button" dataOnly="0" labelOnly="1" outline="0" axis="axisRow" fieldPosition="3"/>
    </format>
    <format action="formatting" dxfId="147">
      <pivotArea field="2" type="button" dataOnly="0" labelOnly="1" outline="0" axis="axisRow" fieldPosition="4"/>
    </format>
    <format action="formatting" dxfId="146">
      <pivotArea field="30" type="button" dataOnly="0" labelOnly="1" outline="0" axis="axisRow" fieldPosition="7"/>
    </format>
    <format action="formatting" dxfId="145">
      <pivotArea field="31" type="button" dataOnly="0" labelOnly="1" outline="0" axis="axisRow" fieldPosition="8"/>
    </format>
    <format action="formatting" dxfId="144">
      <pivotArea field="32" type="button" dataOnly="0" labelOnly="1" outline="0"/>
    </format>
    <format action="formatting" dxfId="143">
      <pivotArea type="normal" dataOnly="0" labelOnly="1" outline="0" fieldPosition="0">
        <references count="1">
          <reference field="4294967294">
            <x v="0"/>
            <x v="2"/>
            <x v="3"/>
          </reference>
        </references>
      </pivotArea>
    </format>
    <format action="formatting" dxfId="142">
      <pivotArea type="normal" dataOnly="0" labelOnly="1" outline="0" fieldPosition="0">
        <references count="1">
          <reference field="4294967294">
            <x v="4"/>
          </reference>
        </references>
      </pivotArea>
    </format>
    <format action="formatting" dxfId="141">
      <pivotArea type="normal" dataOnly="0" labelOnly="1" outline="0" fieldPosition="0">
        <references count="1">
          <reference field="4294967294">
            <x v="1"/>
          </reference>
        </references>
      </pivotArea>
    </format>
    <format action="formatting" dxfId="140">
      <pivotArea type="normal" dataOnly="0" labelOnly="1" outline="0" fieldPosition="0">
        <references count="1">
          <reference field="4294967294">
            <x v="0"/>
            <x v="1"/>
            <x v="2"/>
            <x v="3"/>
            <x v="4"/>
          </reference>
        </references>
      </pivotArea>
    </format>
    <format action="formatting" dxfId="139">
      <pivotArea field="4" type="button" dataOnly="0" labelOnly="1" outline="0" axis="axisRow" fieldPosition="6"/>
    </format>
    <format action="formatting" dxfId="0">
      <pivotArea field="3" type="button" dataOnly="0" labelOnly="1" outline="0" axis="axisRow" fieldPosition="5"/>
    </format>
  </formats>
  <pivotTableStyleInfo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7" cacheId="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r:id="rId1">
  <location ref="A1:C3" firstHeaderRow="0" firstDataRow="1" firstDataCol="1"/>
  <pivotFields count="56">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numFmtId="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4"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numFmtId="166"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ascending" defaultSubtotal="1">
      <items count="3">
        <item t="data" sd="1" m="1" x="1"/>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166"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51"/>
  </rowFields>
  <rowItems count="2">
    <i t="data" r="0" i="0">
      <x v="1"/>
    </i>
    <i t="grand" r="0" i="0">
      <x v="0"/>
    </i>
  </rowItems>
  <colFields count="1">
    <field x="-2"/>
  </colFields>
  <colItems count="2">
    <i t="data" r="0" i="0">
      <x v="0"/>
    </i>
    <i t="data" r="0" i="1">
      <x v="1"/>
    </i>
  </colItems>
  <dataFields count="2">
    <dataField name="Number of Claims" fld="55" subtotal="sum" showDataAs="normal" baseField="51" baseItem="0"/>
    <dataField name="Sum of Total Incurred" fld="54" subtotal="sum" showDataAs="normal" baseField="0" baseItem="0" numFmtId="166"/>
  </dataFields>
  <chartFormats count="3">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 chart="0" format="2" series="0">
      <pivotArea type="data" dataOnly="1" outline="0" fieldPosition="0">
        <references count="2">
          <reference field="4294967294" selected="0">
            <x v="1"/>
          </reference>
          <reference field="51" selected="0">
            <x v="0"/>
          </reference>
        </references>
      </pivotArea>
    </chartFormat>
  </chartFormats>
  <pivotTableStyleInfo name="PivotStyleLight16" showRowHeaders="1" showColHeaders="1" showRowStripes="0" showColStripes="0" showLastColumn="1"/>
</pivotTableDefinition>
</file>

<file path=xl/tables/table1.xml><?xml version="1.0" encoding="utf-8"?>
<table xmlns="http://schemas.openxmlformats.org/spreadsheetml/2006/main" id="1" name="ClaimsData" displayName="ClaimsData" ref="A1:BC37" headerRowCount="1" totalsRowShown="0" headerRowDxfId="138" dataDxfId="137">
  <tableColumns count="55">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Outstanding Loss Reserve"/>
    <tableColumn id="20" name="Total Paid Loss Net Salvage/Subro/Loss Recovery"/>
    <tableColumn id="21" name="Incurred w/o ALAE"/>
    <tableColumn id="22" name="ALAE Reserve"/>
    <tableColumn id="23" name="ALAE Paid"/>
    <tableColumn id="24" name="Total Incurred + ALAE"/>
    <tableColumn id="25" name="Salvage Recovery"/>
    <tableColumn id="26" name="Subro Recovery"/>
    <tableColumn id="27" name="Loss Recovery"/>
    <tableColumn id="28" name="Deductible Recovery"/>
    <tableColumn id="29" name="Expense Recovery"/>
    <tableColumn id="30" name="Litigation Status"/>
    <tableColumn id="31" name="Cause Of Loss"/>
    <tableColumn id="32" name="Description of Loss"/>
    <tableColumn id="33" name="Contributing Factor"/>
    <tableColumn id="34" name="Product"/>
    <tableColumn id="35" name="Manufacturer"/>
    <tableColumn id="36" name="Policy Region Description"/>
    <tableColumn id="37" name="Policy Holder Retailer Desc"/>
    <tableColumn id="38" name="Policy Holder Claim Number"/>
    <tableColumn id="39" name="Occupation"/>
    <tableColumn id="40" name="Accident Day Of Week"/>
    <tableColumn id="41" name="Insured Driver"/>
    <tableColumn id="42" name="Total Loss Indicator"/>
    <tableColumn id="43" name="Vehicle Year"/>
    <tableColumn id="44" name="Vehicle Manufacturer"/>
    <tableColumn id="45" name="Vehicle Model"/>
    <tableColumn id="46" name="Vehicle ID Number"/>
    <tableColumn id="47" name="Vehicle License Plate"/>
    <tableColumn id="48" name="Vehicle License State"/>
    <tableColumn id="49" name="Adjuster"/>
    <tableColumn id="50" name="Policy"/>
    <tableColumn id="51" name="Policy Year"/>
    <tableColumn id="52" name="Claims above 50K"/>
    <tableColumn id="53" name="Claim Feature Number"/>
    <tableColumn id="54" name="Total Incurred"/>
    <tableColumn id="55" name="Distinct Claim Helper"/>
  </tableColumns>
  <tableStyleInfo name="TableStyleLight16" showFirstColumn="0" showLastColumn="0" showRowStripes="1" showColumnStripes="0"/>
</table>
</file>

<file path=xl/tables/table2.xml><?xml version="1.0" encoding="utf-8"?>
<table xmlns="http://schemas.openxmlformats.org/spreadsheetml/2006/main" id="2" name="RecordOnlyData" displayName="RecordOnlyData" ref="A1:AO5" headerRowCount="1" totalsRowShown="0" headerRowDxfId="80" dataDxfId="79">
  <tableColumns count="41">
    <tableColumn id="1" name="Customer Number"/>
    <tableColumn id="2" name="Policy Insured Name"/>
    <tableColumn id="3" name="Claim Number"/>
    <tableColumn id="4" name="Exposure"/>
    <tableColumn id="5" name="Claimant Name"/>
    <tableColumn id="6" name="Account Location Identifier"/>
    <tableColumn id="7" name="Accident State"/>
    <tableColumn id="8" name="Policy Symbol"/>
    <tableColumn id="9" name="Policy Number"/>
    <tableColumn id="10" name="Policy MOD"/>
    <tableColumn id="11" name="Policy Effective Date"/>
    <tableColumn id="12" name="Policy Expiration Date"/>
    <tableColumn id="13" name="Loss Date"/>
    <tableColumn id="14" name="Date of Notice"/>
    <tableColumn id="15" name="Lag Time"/>
    <tableColumn id="16" name="Claim Status"/>
    <tableColumn id="17" name="Claim Closed Date"/>
    <tableColumn id="18" name="Coverage"/>
    <tableColumn id="19" name="Cause Of Loss"/>
    <tableColumn id="20" name="Description of Loss"/>
    <tableColumn id="21" name="Contributing Factor"/>
    <tableColumn id="22" name="Product"/>
    <tableColumn id="23" name="Manufacturer"/>
    <tableColumn id="24" name="Policy Region Description"/>
    <tableColumn id="25" name="Policy Holder Retailer Desc"/>
    <tableColumn id="26" name="Policy Holder Claim Number"/>
    <tableColumn id="27" name="Occupation"/>
    <tableColumn id="28" name="Accident Day Of Week"/>
    <tableColumn id="29" name="Insured Driver"/>
    <tableColumn id="30" name="Total Loss Indicator"/>
    <tableColumn id="31" name="Vehicle Year"/>
    <tableColumn id="32" name="Vehicle Manufacturer"/>
    <tableColumn id="33" name="Vehicle Model"/>
    <tableColumn id="34" name="Vehicle ID Number"/>
    <tableColumn id="35" name="Vehicle License Plate"/>
    <tableColumn id="36" name="Vehicle License State"/>
    <tableColumn id="37" name="Adjuster"/>
    <tableColumn id="38" name="Policy"/>
    <tableColumn id="39" name="Policy Year"/>
    <tableColumn id="40" name="Claim Feature Number"/>
    <tableColumn id="41"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pivotTable" Target="/xl/pivotTables/pivotTable2.xml" Id="rId2"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F10"/>
  <sheetViews>
    <sheetView tabSelected="1" workbookViewId="0">
      <selection activeCell="B2" sqref="B2"/>
    </sheetView>
  </sheetViews>
  <sheetFormatPr baseColWidth="8" defaultColWidth="8.85546875" defaultRowHeight="15"/>
  <cols>
    <col width="25.140625" customWidth="1" style="31" min="1" max="1"/>
    <col width="98.140625" customWidth="1" style="31" min="2" max="2"/>
    <col width="17.140625" customWidth="1" style="31" min="3" max="3"/>
    <col width="13.85546875" customWidth="1" style="31" min="4" max="4"/>
    <col width="15.28515625" customWidth="1" style="31" min="5" max="5"/>
    <col width="13.5703125" customWidth="1" style="31" min="6" max="6"/>
    <col width="11" customWidth="1" style="31" min="7" max="7"/>
  </cols>
  <sheetData>
    <row r="1" ht="129.75" customHeight="1" s="31">
      <c r="A1" s="30" t="n"/>
    </row>
    <row r="2" ht="29.25" customHeight="1" s="31">
      <c r="A2" s="1" t="inlineStr">
        <is>
          <t>Account Number</t>
        </is>
      </c>
      <c r="B2" s="2" t="inlineStr">
        <is>
          <t>1521764304</t>
        </is>
      </c>
    </row>
    <row r="3" ht="29.25" customHeight="1" s="31">
      <c r="A3" s="1" t="inlineStr">
        <is>
          <t>Account Name</t>
        </is>
      </c>
      <c r="B3" s="2" t="inlineStr">
        <is>
          <t>Amarok LLC</t>
        </is>
      </c>
    </row>
    <row r="4" ht="29.25" customHeight="1" s="31">
      <c r="A4" s="1" t="inlineStr">
        <is>
          <t>Report Run Date</t>
        </is>
      </c>
      <c r="B4" s="20" t="inlineStr">
        <is>
          <t>09/15/2026</t>
        </is>
      </c>
    </row>
    <row r="5" ht="138" customHeight="1" s="31">
      <c r="A5" s="32"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5" s="33" t="n"/>
      <c r="E5" s="3" t="n"/>
    </row>
    <row r="6" ht="62.25" customHeight="1" s="31">
      <c r="A6" s="32" t="inlineStr">
        <is>
          <t>This report contains information on all open claims; as well as closed claims limited to the current and prior six policy years.</t>
        </is>
      </c>
      <c r="B6" s="33" t="n"/>
    </row>
    <row r="8">
      <c r="F8" s="4" t="n"/>
    </row>
    <row r="10">
      <c r="C10" s="5" t="n"/>
    </row>
  </sheetData>
  <mergeCells count="3">
    <mergeCell ref="A6:B6"/>
    <mergeCell ref="A1:B1"/>
    <mergeCell ref="A5:B5"/>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8"/>
  <sheetViews>
    <sheetView workbookViewId="0">
      <selection activeCell="A6" sqref="A6"/>
    </sheetView>
  </sheetViews>
  <sheetFormatPr baseColWidth="8" defaultRowHeight="15"/>
  <cols>
    <col width="16.5703125" bestFit="1" customWidth="1" style="31" min="1" max="1"/>
    <col width="8.42578125" bestFit="1" customWidth="1" style="31" min="2" max="2"/>
    <col width="21.7109375" bestFit="1" customWidth="1" style="31" min="3" max="3"/>
    <col width="27.28515625" bestFit="1" customWidth="1" style="31" min="4" max="4"/>
    <col width="16" bestFit="1" customWidth="1" style="31" min="5" max="5"/>
    <col width="15.7109375" bestFit="1" customWidth="1" style="31" min="6" max="6"/>
    <col width="20.42578125" bestFit="1" customWidth="1" style="31" min="7" max="7"/>
    <col width="21" bestFit="1" customWidth="1" style="31" min="8" max="9"/>
    <col width="14.5703125" bestFit="1" customWidth="1" style="31" min="10" max="10"/>
    <col width="11.140625" bestFit="1" customWidth="1" style="31" min="11" max="11"/>
    <col width="14.85546875" bestFit="1" customWidth="1" style="31" min="12" max="12"/>
    <col width="11.140625" bestFit="1" customWidth="1" style="31" min="13" max="13"/>
    <col width="21.5703125" bestFit="1" customWidth="1" style="31" min="14" max="14"/>
  </cols>
  <sheetData>
    <row r="1">
      <c r="A1" s="17" t="inlineStr">
        <is>
          <t>Policy Symbol</t>
        </is>
      </c>
      <c r="B1" s="18" t="inlineStr">
        <is>
          <t>(All)</t>
        </is>
      </c>
    </row>
    <row r="2">
      <c r="A2" s="17" t="inlineStr">
        <is>
          <t>Claim Status</t>
        </is>
      </c>
      <c r="B2" s="18" t="inlineStr">
        <is>
          <t>(All)</t>
        </is>
      </c>
    </row>
    <row r="3">
      <c r="A3" s="17" t="inlineStr">
        <is>
          <t>Litigation Status</t>
        </is>
      </c>
      <c r="B3" s="18" t="inlineStr">
        <is>
          <t>(All)</t>
        </is>
      </c>
    </row>
    <row r="4">
      <c r="A4" s="17" t="inlineStr">
        <is>
          <t>Claims above 50K</t>
        </is>
      </c>
      <c r="B4" s="18" t="inlineStr">
        <is>
          <t>(All)</t>
        </is>
      </c>
    </row>
    <row r="6">
      <c r="A6" s="25" t="inlineStr">
        <is>
          <t>Policy Year</t>
        </is>
      </c>
      <c r="B6" s="25" t="inlineStr">
        <is>
          <t>Policy</t>
        </is>
      </c>
      <c r="C6" s="25" t="inlineStr">
        <is>
          <t>Policy Effective Date</t>
        </is>
      </c>
      <c r="D6" s="25" t="inlineStr">
        <is>
          <t>Account Location Identifier</t>
        </is>
      </c>
      <c r="E6" s="25" t="inlineStr">
        <is>
          <t>Claim Number</t>
        </is>
      </c>
      <c r="F6" s="25" t="inlineStr">
        <is>
          <t>Exposure</t>
        </is>
      </c>
      <c r="G6" s="25" t="inlineStr">
        <is>
          <t>Claimant Name</t>
        </is>
      </c>
      <c r="H6" s="25" t="inlineStr">
        <is>
          <t>Cause Of Loss</t>
        </is>
      </c>
      <c r="I6" s="25" t="inlineStr">
        <is>
          <t>Description of Loss</t>
        </is>
      </c>
      <c r="J6" s="25" t="inlineStr">
        <is>
          <t>$ Loss Reserve</t>
        </is>
      </c>
      <c r="K6" s="26" t="inlineStr">
        <is>
          <t>$ Total Paid</t>
        </is>
      </c>
      <c r="L6" s="26" t="inlineStr">
        <is>
          <t>$ ALAE Reserve</t>
        </is>
      </c>
      <c r="M6" s="26" t="inlineStr">
        <is>
          <t>$ ALAE Paid</t>
        </is>
      </c>
      <c r="N6" s="27" t="inlineStr">
        <is>
          <t>$ Total Incurred + ALAE</t>
        </is>
      </c>
    </row>
    <row r="7">
      <c r="A7" s="7" t="n">
        <v>2020</v>
      </c>
      <c r="B7" s="7" t="inlineStr">
        <is>
          <t>TEST</t>
        </is>
      </c>
      <c r="C7" s="8" t="n">
        <v>43831</v>
      </c>
      <c r="D7" s="7" t="inlineStr">
        <is>
          <t>TEST</t>
        </is>
      </c>
      <c r="E7" s="7" t="inlineStr">
        <is>
          <t>00-01010101</t>
        </is>
      </c>
      <c r="F7" s="7" t="inlineStr">
        <is>
          <t>01</t>
        </is>
      </c>
      <c r="G7" s="7" t="inlineStr">
        <is>
          <t>TEST</t>
        </is>
      </c>
      <c r="H7" s="7" t="inlineStr">
        <is>
          <t>TEST</t>
        </is>
      </c>
      <c r="I7" s="7" t="inlineStr">
        <is>
          <t>TEST</t>
        </is>
      </c>
      <c r="J7" s="9" t="n">
        <v>10</v>
      </c>
      <c r="K7" s="10" t="n">
        <v>10</v>
      </c>
      <c r="L7" s="10" t="n">
        <v>10</v>
      </c>
      <c r="M7" s="10" t="n">
        <v>10</v>
      </c>
      <c r="N7" s="11" t="n">
        <v>10</v>
      </c>
    </row>
    <row r="8">
      <c r="A8" s="12" t="inlineStr">
        <is>
          <t>2020 Total</t>
        </is>
      </c>
      <c r="B8" s="13" t="n"/>
      <c r="C8" s="13" t="n"/>
      <c r="D8" s="13" t="n"/>
      <c r="E8" s="13" t="n"/>
      <c r="F8" s="13" t="n"/>
      <c r="G8" s="13" t="n"/>
      <c r="H8" s="13" t="n"/>
      <c r="I8" s="13" t="n"/>
      <c r="J8" s="14" t="n">
        <v>10</v>
      </c>
      <c r="K8" s="15" t="n">
        <v>10</v>
      </c>
      <c r="L8" s="15" t="n">
        <v>10</v>
      </c>
      <c r="M8" s="15" t="n">
        <v>10</v>
      </c>
      <c r="N8" s="16" t="n">
        <v>10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3"/>
  <sheetViews>
    <sheetView workbookViewId="0">
      <selection activeCell="G38" sqref="G38"/>
    </sheetView>
  </sheetViews>
  <sheetFormatPr baseColWidth="8" defaultRowHeight="15"/>
  <cols>
    <col width="13.42578125" bestFit="1" customWidth="1" style="31" min="1" max="1"/>
    <col width="17.5703125" bestFit="1" customWidth="1" style="31" min="2" max="2"/>
    <col width="20.42578125" bestFit="1" customWidth="1" style="31" min="3" max="3"/>
  </cols>
  <sheetData>
    <row r="1">
      <c r="A1" s="22" t="inlineStr">
        <is>
          <t>Row Labels</t>
        </is>
      </c>
      <c r="B1" t="inlineStr">
        <is>
          <t>Number of Claims</t>
        </is>
      </c>
      <c r="C1" t="inlineStr">
        <is>
          <t>Sum of Total Incurred</t>
        </is>
      </c>
    </row>
    <row r="2">
      <c r="A2" s="30" t="n">
        <v>2020</v>
      </c>
      <c r="B2" t="n">
        <v>1</v>
      </c>
      <c r="C2" s="6" t="n">
        <v>10</v>
      </c>
    </row>
    <row r="3">
      <c r="A3" s="30" t="inlineStr">
        <is>
          <t>Grand Total</t>
        </is>
      </c>
      <c r="B3" t="n">
        <v>1</v>
      </c>
      <c r="C3" s="6" t="n">
        <v>10</v>
      </c>
    </row>
  </sheetData>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D37"/>
  <sheetViews>
    <sheetView workbookViewId="0">
      <selection activeCell="A2" sqref="A2"/>
    </sheetView>
  </sheetViews>
  <sheetFormatPr baseColWidth="8"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58"/>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Outstanding Loss Reserve</t>
        </is>
      </c>
      <c r="T1" t="inlineStr">
        <is>
          <t>Total Paid Loss Net Salvage/Subro/Loss Recovery</t>
        </is>
      </c>
      <c r="U1" t="inlineStr">
        <is>
          <t>Incurred w/o ALAE</t>
        </is>
      </c>
      <c r="V1" t="inlineStr">
        <is>
          <t>ALAE Reserve</t>
        </is>
      </c>
      <c r="W1" t="inlineStr">
        <is>
          <t>ALAE Paid</t>
        </is>
      </c>
      <c r="X1" t="inlineStr">
        <is>
          <t>Total Incurred + ALAE</t>
        </is>
      </c>
      <c r="Y1" t="inlineStr">
        <is>
          <t>Salvage Recovery</t>
        </is>
      </c>
      <c r="Z1" t="inlineStr">
        <is>
          <t>Subro Recovery</t>
        </is>
      </c>
      <c r="AA1" t="inlineStr">
        <is>
          <t>Loss Recovery</t>
        </is>
      </c>
      <c r="AB1" t="inlineStr">
        <is>
          <t>Deductible Recovery</t>
        </is>
      </c>
      <c r="AC1" t="inlineStr">
        <is>
          <t>Expense Recovery</t>
        </is>
      </c>
      <c r="AD1" t="inlineStr">
        <is>
          <t>Litigation Status</t>
        </is>
      </c>
      <c r="AE1" t="inlineStr">
        <is>
          <t>Cause Of Loss</t>
        </is>
      </c>
      <c r="AF1" t="inlineStr">
        <is>
          <t>Description of Loss</t>
        </is>
      </c>
      <c r="AG1" t="inlineStr">
        <is>
          <t>Contributing Factor</t>
        </is>
      </c>
      <c r="AH1" t="inlineStr">
        <is>
          <t>Product</t>
        </is>
      </c>
      <c r="AI1" t="inlineStr">
        <is>
          <t>Manufacturer</t>
        </is>
      </c>
      <c r="AJ1" t="inlineStr">
        <is>
          <t>Policy Region Description</t>
        </is>
      </c>
      <c r="AK1" t="inlineStr">
        <is>
          <t>Policy Holder Retailer Desc</t>
        </is>
      </c>
      <c r="AL1" t="inlineStr">
        <is>
          <t>Policy Holder Claim Number</t>
        </is>
      </c>
      <c r="AM1" t="inlineStr">
        <is>
          <t>Occupation</t>
        </is>
      </c>
      <c r="AN1" t="inlineStr">
        <is>
          <t>Accident Day Of Week</t>
        </is>
      </c>
      <c r="AO1" t="inlineStr">
        <is>
          <t>Insured Driver</t>
        </is>
      </c>
      <c r="AP1" t="inlineStr">
        <is>
          <t>Total Loss Indicator</t>
        </is>
      </c>
      <c r="AQ1" t="inlineStr">
        <is>
          <t>Vehicle Year</t>
        </is>
      </c>
      <c r="AR1" t="inlineStr">
        <is>
          <t>Vehicle Manufacturer</t>
        </is>
      </c>
      <c r="AS1" t="inlineStr">
        <is>
          <t>Vehicle Model</t>
        </is>
      </c>
      <c r="AT1" t="inlineStr">
        <is>
          <t>Vehicle ID Number</t>
        </is>
      </c>
      <c r="AU1" t="inlineStr">
        <is>
          <t>Vehicle License Plate</t>
        </is>
      </c>
      <c r="AV1" t="inlineStr">
        <is>
          <t>Vehicle License State</t>
        </is>
      </c>
      <c r="AW1" t="inlineStr">
        <is>
          <t>Adjuster</t>
        </is>
      </c>
      <c r="AX1" t="inlineStr">
        <is>
          <t>Policy</t>
        </is>
      </c>
      <c r="AY1" t="inlineStr">
        <is>
          <t>Policy Year</t>
        </is>
      </c>
      <c r="AZ1" t="inlineStr">
        <is>
          <t>Claims above 50K</t>
        </is>
      </c>
      <c r="BA1" t="inlineStr">
        <is>
          <t>Claim Feature Number</t>
        </is>
      </c>
      <c r="BB1" t="inlineStr">
        <is>
          <t>Total Incurred</t>
        </is>
      </c>
      <c r="BC1" t="inlineStr">
        <is>
          <t>Distinct Claim Helper</t>
        </is>
      </c>
    </row>
    <row r="2" s="31">
      <c r="A2" t="inlineStr">
        <is>
          <t>1521764304</t>
        </is>
      </c>
      <c r="B2" t="inlineStr">
        <is>
          <t>AMAROK LLC</t>
        </is>
      </c>
      <c r="C2" t="inlineStr">
        <is>
          <t>83-00167707</t>
        </is>
      </c>
      <c r="D2" t="inlineStr">
        <is>
          <t>02</t>
        </is>
      </c>
      <c r="E2" t="inlineStr">
        <is>
          <t>Flores, Gilbert</t>
        </is>
      </c>
      <c r="F2" t="inlineStr">
        <is>
          <t>550 Assembly St, Columbia, SC</t>
        </is>
      </c>
      <c r="G2" t="inlineStr">
        <is>
          <t>SC</t>
        </is>
      </c>
      <c r="H2" t="inlineStr">
        <is>
          <t>WD6</t>
        </is>
      </c>
      <c r="I2" t="inlineStr">
        <is>
          <t>M147769</t>
        </is>
      </c>
      <c r="J2" t="inlineStr">
        <is>
          <t>00</t>
        </is>
      </c>
      <c r="K2" s="24" t="inlineStr">
        <is>
          <t>10/01/2025</t>
        </is>
      </c>
      <c r="L2" s="24" t="inlineStr">
        <is>
          <t>10/01/2026</t>
        </is>
      </c>
      <c r="M2" s="24" t="inlineStr">
        <is>
          <t>11/04/2025</t>
        </is>
      </c>
      <c r="N2" s="24" t="inlineStr">
        <is>
          <t>11/06/2025</t>
        </is>
      </c>
      <c r="O2" t="n">
        <v>2</v>
      </c>
      <c r="P2" t="inlineStr">
        <is>
          <t>closed</t>
        </is>
      </c>
      <c r="Q2" s="24" t="inlineStr">
        <is>
          <t>11/21/2025</t>
        </is>
      </c>
      <c r="R2" t="inlineStr">
        <is>
          <t>WC Coverage -Med Only</t>
        </is>
      </c>
      <c r="S2" t="n">
        <v>0</v>
      </c>
      <c r="T2" t="n">
        <v>540.64</v>
      </c>
      <c r="U2" t="n">
        <v>540.64</v>
      </c>
      <c r="V2" t="n">
        <v>0</v>
      </c>
      <c r="W2" t="n">
        <v>16.75</v>
      </c>
      <c r="X2" t="n">
        <v>557.39</v>
      </c>
      <c r="Y2" t="n">
        <v>0</v>
      </c>
      <c r="Z2" t="n">
        <v>0</v>
      </c>
      <c r="AA2" t="n">
        <v>0</v>
      </c>
      <c r="AB2" t="n">
        <v>0</v>
      </c>
      <c r="AC2" t="n">
        <v>0</v>
      </c>
      <c r="AE2" t="inlineStr">
        <is>
          <t>MP-Multiple Body Parts</t>
        </is>
      </c>
      <c r="AF2" t="inlineStr">
        <is>
          <t>D4-Strain</t>
        </is>
      </c>
      <c r="AG2" t="inlineStr">
        <is>
          <t>J1-Collision with another vehicle</t>
        </is>
      </c>
      <c r="AL2" t="inlineStr"/>
      <c r="AM2" t="inlineStr">
        <is>
          <t>Unknown</t>
        </is>
      </c>
      <c r="AN2" t="inlineStr">
        <is>
          <t>Tuesday</t>
        </is>
      </c>
      <c r="AO2" t="inlineStr">
        <is>
          <t> </t>
        </is>
      </c>
      <c r="AW2" t="inlineStr">
        <is>
          <t>FOUNTAIN, BRANDON</t>
        </is>
      </c>
      <c r="AX2" t="inlineStr">
        <is>
          <t>WD6-M147769-00</t>
        </is>
      </c>
      <c r="AY2" t="n">
        <v>2025</v>
      </c>
      <c r="AZ2" t="n">
        <v>0</v>
      </c>
      <c r="BA2" t="inlineStr">
        <is>
          <t>83-0016770702</t>
        </is>
      </c>
      <c r="BB2" t="n">
        <v>540.64</v>
      </c>
      <c r="BC2" s="23" t="n">
        <v>1</v>
      </c>
    </row>
    <row r="3">
      <c r="A3" t="inlineStr">
        <is>
          <t>1521764304</t>
        </is>
      </c>
      <c r="B3" t="inlineStr">
        <is>
          <t>AMAROK LLC</t>
        </is>
      </c>
      <c r="C3" t="inlineStr">
        <is>
          <t>85-00913097</t>
        </is>
      </c>
      <c r="D3" t="inlineStr">
        <is>
          <t>01</t>
        </is>
      </c>
      <c r="E3" t="inlineStr">
        <is>
          <t>AMAROK LLC</t>
        </is>
      </c>
      <c r="G3" t="inlineStr">
        <is>
          <t>CA</t>
        </is>
      </c>
      <c r="H3" t="inlineStr">
        <is>
          <t>AH6</t>
        </is>
      </c>
      <c r="I3" t="inlineStr">
        <is>
          <t>M147006</t>
        </is>
      </c>
      <c r="J3" t="inlineStr">
        <is>
          <t>00</t>
        </is>
      </c>
      <c r="K3" t="inlineStr">
        <is>
          <t>10/01/2025</t>
        </is>
      </c>
      <c r="L3" t="inlineStr">
        <is>
          <t>10/01/2026</t>
        </is>
      </c>
      <c r="M3" t="inlineStr">
        <is>
          <t>02/06/2026</t>
        </is>
      </c>
      <c r="N3" t="inlineStr">
        <is>
          <t>02/06/2026</t>
        </is>
      </c>
      <c r="O3" t="n">
        <v>0</v>
      </c>
      <c r="P3" t="inlineStr">
        <is>
          <t>open</t>
        </is>
      </c>
      <c r="R3" t="inlineStr">
        <is>
          <t>Collision</t>
        </is>
      </c>
      <c r="S3" t="n">
        <v>0</v>
      </c>
      <c r="T3" t="n">
        <v>0</v>
      </c>
      <c r="U3" t="n">
        <v>0</v>
      </c>
      <c r="V3" t="n">
        <v>0</v>
      </c>
      <c r="W3" t="n">
        <v>0</v>
      </c>
      <c r="X3" t="n">
        <v>0</v>
      </c>
      <c r="Y3" t="n">
        <v>0</v>
      </c>
      <c r="Z3" t="n">
        <v>0</v>
      </c>
      <c r="AA3" t="n">
        <v>0</v>
      </c>
      <c r="AB3" t="n">
        <v>0</v>
      </c>
      <c r="AC3" t="n">
        <v>0</v>
      </c>
      <c r="AE3" t="inlineStr">
        <is>
          <t>Struck Other Object</t>
        </is>
      </c>
      <c r="AF3" t="inlineStr">
        <is>
          <t>IV Struck Parked OV</t>
        </is>
      </c>
      <c r="AG3" t="inlineStr">
        <is>
          <t>Parking Lot</t>
        </is>
      </c>
      <c r="AL3" t="inlineStr"/>
      <c r="AM3" t="inlineStr">
        <is>
          <t> </t>
        </is>
      </c>
      <c r="AN3" t="inlineStr">
        <is>
          <t>Friday</t>
        </is>
      </c>
      <c r="AO3" t="inlineStr">
        <is>
          <t>Gavin Hendriks</t>
        </is>
      </c>
      <c r="AP3" t="inlineStr">
        <is>
          <t>N</t>
        </is>
      </c>
      <c r="AQ3" t="n">
        <v>2025</v>
      </c>
      <c r="AR3" t="inlineStr">
        <is>
          <t>Chevy</t>
        </is>
      </c>
      <c r="AS3" t="inlineStr">
        <is>
          <t>Express</t>
        </is>
      </c>
      <c r="AT3" t="inlineStr">
        <is>
          <t>1GCWGBFP2S1206519</t>
        </is>
      </c>
      <c r="AU3" t="inlineStr">
        <is>
          <t>Y9948560</t>
        </is>
      </c>
      <c r="AV3" t="inlineStr">
        <is>
          <t>CA</t>
        </is>
      </c>
      <c r="AW3" t="inlineStr">
        <is>
          <t>GREGOIRE, DANIELLE</t>
        </is>
      </c>
      <c r="AX3" t="inlineStr">
        <is>
          <t>AH6-M147006-00</t>
        </is>
      </c>
      <c r="AY3" t="n">
        <v>2025</v>
      </c>
      <c r="AZ3" t="n">
        <v>0</v>
      </c>
      <c r="BA3" t="inlineStr">
        <is>
          <t>85-0091309701</t>
        </is>
      </c>
      <c r="BB3" t="n">
        <v>0</v>
      </c>
      <c r="BC3" t="n">
        <v>1</v>
      </c>
    </row>
    <row r="4">
      <c r="A4" t="inlineStr">
        <is>
          <t>1521764304</t>
        </is>
      </c>
      <c r="B4" t="inlineStr">
        <is>
          <t>AMAROK LLC</t>
        </is>
      </c>
      <c r="C4" t="inlineStr">
        <is>
          <t>83-00170804</t>
        </is>
      </c>
      <c r="D4" t="inlineStr">
        <is>
          <t>02</t>
        </is>
      </c>
      <c r="E4" t="inlineStr">
        <is>
          <t>Fleming, Patrick</t>
        </is>
      </c>
      <c r="F4" t="inlineStr">
        <is>
          <t>California</t>
        </is>
      </c>
      <c r="G4" t="inlineStr">
        <is>
          <t>CA</t>
        </is>
      </c>
      <c r="H4" t="inlineStr">
        <is>
          <t>WD6</t>
        </is>
      </c>
      <c r="I4" t="inlineStr">
        <is>
          <t>M147769</t>
        </is>
      </c>
      <c r="J4" t="inlineStr">
        <is>
          <t>00</t>
        </is>
      </c>
      <c r="K4" t="inlineStr">
        <is>
          <t>10/01/2025</t>
        </is>
      </c>
      <c r="L4" t="inlineStr">
        <is>
          <t>10/01/2026</t>
        </is>
      </c>
      <c r="M4" t="inlineStr">
        <is>
          <t>01/07/2026</t>
        </is>
      </c>
      <c r="N4" t="inlineStr">
        <is>
          <t>01/09/2026</t>
        </is>
      </c>
      <c r="O4" t="n">
        <v>2</v>
      </c>
      <c r="P4" t="inlineStr">
        <is>
          <t>open</t>
        </is>
      </c>
      <c r="R4" t="inlineStr">
        <is>
          <t>WC Coverage -Med Only</t>
        </is>
      </c>
      <c r="S4" t="n">
        <v>3666.36</v>
      </c>
      <c r="T4" t="n">
        <v>10086.16</v>
      </c>
      <c r="U4" t="n">
        <v>13752.52</v>
      </c>
      <c r="V4" t="n">
        <v>0</v>
      </c>
      <c r="W4" t="n">
        <v>1136.33</v>
      </c>
      <c r="X4" t="n">
        <v>14888.85</v>
      </c>
      <c r="Y4" t="n">
        <v>0</v>
      </c>
      <c r="Z4" t="n">
        <v>0</v>
      </c>
      <c r="AA4" t="n">
        <v>-9.41</v>
      </c>
      <c r="AB4" t="n">
        <v>0</v>
      </c>
      <c r="AC4" t="n">
        <v>0</v>
      </c>
      <c r="AE4" t="inlineStr">
        <is>
          <t>F7-Multiple Trunk</t>
        </is>
      </c>
      <c r="AF4" t="inlineStr">
        <is>
          <t>D4-Strain</t>
        </is>
      </c>
      <c r="AG4" t="inlineStr">
        <is>
          <t>J1-Collision with another vehicle</t>
        </is>
      </c>
      <c r="AL4" t="inlineStr"/>
      <c r="AM4" t="inlineStr">
        <is>
          <t>Field Technician</t>
        </is>
      </c>
      <c r="AN4" t="inlineStr">
        <is>
          <t>Wednesday</t>
        </is>
      </c>
      <c r="AO4" t="inlineStr">
        <is>
          <t> </t>
        </is>
      </c>
      <c r="AW4" t="inlineStr">
        <is>
          <t>LOZANO, ASHLEY</t>
        </is>
      </c>
      <c r="AX4" t="inlineStr">
        <is>
          <t>WD6-M147769-00</t>
        </is>
      </c>
      <c r="AY4" t="n">
        <v>2025</v>
      </c>
      <c r="AZ4" t="n">
        <v>0</v>
      </c>
      <c r="BA4" t="inlineStr">
        <is>
          <t>83-0017080402</t>
        </is>
      </c>
      <c r="BB4" t="n">
        <v>13752.52</v>
      </c>
      <c r="BC4" t="n">
        <v>1</v>
      </c>
    </row>
    <row r="5">
      <c r="A5" t="inlineStr">
        <is>
          <t>1521764304</t>
        </is>
      </c>
      <c r="B5" t="inlineStr">
        <is>
          <t>AMAROK LLC</t>
        </is>
      </c>
      <c r="C5" t="inlineStr">
        <is>
          <t>83-00167710</t>
        </is>
      </c>
      <c r="D5" t="inlineStr">
        <is>
          <t>01</t>
        </is>
      </c>
      <c r="E5" t="inlineStr">
        <is>
          <t>Spradley, Brian</t>
        </is>
      </c>
      <c r="F5" t="inlineStr">
        <is>
          <t>550 Assembly St, Columbia, SC</t>
        </is>
      </c>
      <c r="G5" t="inlineStr">
        <is>
          <t>SC</t>
        </is>
      </c>
      <c r="H5" t="inlineStr">
        <is>
          <t>WD6</t>
        </is>
      </c>
      <c r="I5" t="inlineStr">
        <is>
          <t>M147769</t>
        </is>
      </c>
      <c r="J5" t="inlineStr">
        <is>
          <t>00</t>
        </is>
      </c>
      <c r="K5" t="inlineStr">
        <is>
          <t>10/01/2025</t>
        </is>
      </c>
      <c r="L5" t="inlineStr">
        <is>
          <t>10/01/2026</t>
        </is>
      </c>
      <c r="M5" t="inlineStr">
        <is>
          <t>11/04/2025</t>
        </is>
      </c>
      <c r="N5" t="inlineStr">
        <is>
          <t>11/06/2025</t>
        </is>
      </c>
      <c r="O5" t="n">
        <v>2</v>
      </c>
      <c r="P5" t="inlineStr">
        <is>
          <t>closed</t>
        </is>
      </c>
      <c r="Q5" t="inlineStr">
        <is>
          <t>11/21/2025</t>
        </is>
      </c>
      <c r="R5" t="inlineStr">
        <is>
          <t>WC Coverage - Other than Med</t>
        </is>
      </c>
      <c r="S5" t="n">
        <v>0</v>
      </c>
      <c r="T5" t="n">
        <v>0</v>
      </c>
      <c r="U5" t="n">
        <v>0</v>
      </c>
      <c r="V5" t="n">
        <v>0</v>
      </c>
      <c r="W5" t="n">
        <v>0</v>
      </c>
      <c r="X5" t="n">
        <v>0</v>
      </c>
      <c r="Y5" t="n">
        <v>0</v>
      </c>
      <c r="Z5" t="n">
        <v>0</v>
      </c>
      <c r="AA5" t="n">
        <v>0</v>
      </c>
      <c r="AB5" t="n">
        <v>0</v>
      </c>
      <c r="AC5" t="n">
        <v>0</v>
      </c>
      <c r="AE5" t="inlineStr">
        <is>
          <t>MP-Multiple Body Parts</t>
        </is>
      </c>
      <c r="AF5" t="inlineStr">
        <is>
          <t>D4-Strain</t>
        </is>
      </c>
      <c r="AG5" t="inlineStr">
        <is>
          <t>J1-Collision with another vehicle</t>
        </is>
      </c>
      <c r="AL5" t="inlineStr"/>
      <c r="AM5" t="inlineStr">
        <is>
          <t>Unknown</t>
        </is>
      </c>
      <c r="AN5" t="inlineStr">
        <is>
          <t>Tuesday</t>
        </is>
      </c>
      <c r="AO5" t="inlineStr">
        <is>
          <t> </t>
        </is>
      </c>
      <c r="AW5" t="inlineStr">
        <is>
          <t>FOUNTAIN, BRANDON</t>
        </is>
      </c>
      <c r="AX5" t="inlineStr">
        <is>
          <t>WD6-M147769-00</t>
        </is>
      </c>
      <c r="AY5" t="n">
        <v>2025</v>
      </c>
      <c r="AZ5" t="n">
        <v>0</v>
      </c>
      <c r="BA5" t="inlineStr">
        <is>
          <t>83-0016771001</t>
        </is>
      </c>
      <c r="BB5" t="n">
        <v>0</v>
      </c>
      <c r="BC5" t="n">
        <v>1</v>
      </c>
    </row>
    <row r="6">
      <c r="A6" t="inlineStr">
        <is>
          <t>1521764304</t>
        </is>
      </c>
      <c r="B6" t="inlineStr">
        <is>
          <t>AMAROK LLC</t>
        </is>
      </c>
      <c r="C6" t="inlineStr">
        <is>
          <t>83-00167709</t>
        </is>
      </c>
      <c r="D6" t="inlineStr">
        <is>
          <t>02</t>
        </is>
      </c>
      <c r="E6" t="inlineStr">
        <is>
          <t>Lashley, Barry</t>
        </is>
      </c>
      <c r="F6" t="inlineStr">
        <is>
          <t>550 Assembly St, Columbia, SC</t>
        </is>
      </c>
      <c r="G6" t="inlineStr">
        <is>
          <t>SC</t>
        </is>
      </c>
      <c r="H6" t="inlineStr">
        <is>
          <t>WD6</t>
        </is>
      </c>
      <c r="I6" t="inlineStr">
        <is>
          <t>M147769</t>
        </is>
      </c>
      <c r="J6" t="inlineStr">
        <is>
          <t>00</t>
        </is>
      </c>
      <c r="K6" t="inlineStr">
        <is>
          <t>10/01/2025</t>
        </is>
      </c>
      <c r="L6" t="inlineStr">
        <is>
          <t>10/01/2026</t>
        </is>
      </c>
      <c r="M6" t="inlineStr">
        <is>
          <t>11/04/2025</t>
        </is>
      </c>
      <c r="N6" t="inlineStr">
        <is>
          <t>11/06/2025</t>
        </is>
      </c>
      <c r="O6" t="n">
        <v>2</v>
      </c>
      <c r="P6" t="inlineStr">
        <is>
          <t>closed</t>
        </is>
      </c>
      <c r="Q6" t="inlineStr">
        <is>
          <t>11/21/2025</t>
        </is>
      </c>
      <c r="R6" t="inlineStr">
        <is>
          <t>WC Coverage -Med Only</t>
        </is>
      </c>
      <c r="S6" t="n">
        <v>0</v>
      </c>
      <c r="T6" t="n">
        <v>893.3</v>
      </c>
      <c r="U6" t="n">
        <v>893.3</v>
      </c>
      <c r="V6" t="n">
        <v>0</v>
      </c>
      <c r="W6" t="n">
        <v>23.25</v>
      </c>
      <c r="X6" t="n">
        <v>916.55</v>
      </c>
      <c r="Y6" t="n">
        <v>0</v>
      </c>
      <c r="Z6" t="n">
        <v>0</v>
      </c>
      <c r="AA6" t="n">
        <v>0</v>
      </c>
      <c r="AB6" t="n">
        <v>0</v>
      </c>
      <c r="AC6" t="n">
        <v>0</v>
      </c>
      <c r="AE6" t="inlineStr">
        <is>
          <t>MP-Multiple Body Parts</t>
        </is>
      </c>
      <c r="AF6" t="inlineStr">
        <is>
          <t>D4-Strain</t>
        </is>
      </c>
      <c r="AG6" t="inlineStr">
        <is>
          <t>J1-Collision with another vehicle</t>
        </is>
      </c>
      <c r="AL6" t="inlineStr"/>
      <c r="AM6" t="inlineStr">
        <is>
          <t>Unknown</t>
        </is>
      </c>
      <c r="AN6" t="inlineStr">
        <is>
          <t>Tuesday</t>
        </is>
      </c>
      <c r="AO6" t="inlineStr">
        <is>
          <t> </t>
        </is>
      </c>
      <c r="AW6" t="inlineStr">
        <is>
          <t>FOUNTAIN, BRANDON</t>
        </is>
      </c>
      <c r="AX6" t="inlineStr">
        <is>
          <t>WD6-M147769-00</t>
        </is>
      </c>
      <c r="AY6" t="n">
        <v>2025</v>
      </c>
      <c r="AZ6" t="n">
        <v>0</v>
      </c>
      <c r="BA6" t="inlineStr">
        <is>
          <t>83-0016770902</t>
        </is>
      </c>
      <c r="BB6" t="n">
        <v>893.3</v>
      </c>
      <c r="BC6" t="n">
        <v>1</v>
      </c>
    </row>
    <row r="7">
      <c r="A7" t="inlineStr">
        <is>
          <t>1521764304</t>
        </is>
      </c>
      <c r="B7" t="inlineStr">
        <is>
          <t>AMAROK LLC</t>
        </is>
      </c>
      <c r="C7" t="inlineStr">
        <is>
          <t>83-00167708</t>
        </is>
      </c>
      <c r="D7" t="inlineStr">
        <is>
          <t>01</t>
        </is>
      </c>
      <c r="E7" t="inlineStr">
        <is>
          <t>Reed, Lonnie</t>
        </is>
      </c>
      <c r="F7" t="inlineStr">
        <is>
          <t>550 Assembly St, Columbia, SC</t>
        </is>
      </c>
      <c r="G7" t="inlineStr">
        <is>
          <t>SC</t>
        </is>
      </c>
      <c r="H7" t="inlineStr">
        <is>
          <t>WD6</t>
        </is>
      </c>
      <c r="I7" t="inlineStr">
        <is>
          <t>M147769</t>
        </is>
      </c>
      <c r="J7" t="inlineStr">
        <is>
          <t>00</t>
        </is>
      </c>
      <c r="K7" t="inlineStr">
        <is>
          <t>10/01/2025</t>
        </is>
      </c>
      <c r="L7" t="inlineStr">
        <is>
          <t>10/01/2026</t>
        </is>
      </c>
      <c r="M7" t="inlineStr">
        <is>
          <t>11/04/2025</t>
        </is>
      </c>
      <c r="N7" t="inlineStr">
        <is>
          <t>11/06/2025</t>
        </is>
      </c>
      <c r="O7" t="n">
        <v>2</v>
      </c>
      <c r="P7" t="inlineStr">
        <is>
          <t>closed</t>
        </is>
      </c>
      <c r="Q7" t="inlineStr">
        <is>
          <t>11/21/2025</t>
        </is>
      </c>
      <c r="R7" t="inlineStr">
        <is>
          <t>WC Coverage - Other than Med</t>
        </is>
      </c>
      <c r="S7" t="n">
        <v>0</v>
      </c>
      <c r="T7" t="n">
        <v>0</v>
      </c>
      <c r="U7" t="n">
        <v>0</v>
      </c>
      <c r="V7" t="n">
        <v>0</v>
      </c>
      <c r="W7" t="n">
        <v>0</v>
      </c>
      <c r="X7" t="n">
        <v>0</v>
      </c>
      <c r="Y7" t="n">
        <v>0</v>
      </c>
      <c r="Z7" t="n">
        <v>0</v>
      </c>
      <c r="AA7" t="n">
        <v>0</v>
      </c>
      <c r="AB7" t="n">
        <v>0</v>
      </c>
      <c r="AC7" t="n">
        <v>0</v>
      </c>
      <c r="AE7" t="inlineStr">
        <is>
          <t>MP-Multiple Body Parts</t>
        </is>
      </c>
      <c r="AF7" t="inlineStr">
        <is>
          <t>D4-Strain</t>
        </is>
      </c>
      <c r="AG7" t="inlineStr">
        <is>
          <t>J1-Collision with another vehicle</t>
        </is>
      </c>
      <c r="AL7" t="inlineStr"/>
      <c r="AM7" t="inlineStr">
        <is>
          <t>Unknown</t>
        </is>
      </c>
      <c r="AN7" t="inlineStr">
        <is>
          <t>Tuesday</t>
        </is>
      </c>
      <c r="AO7" t="inlineStr">
        <is>
          <t> </t>
        </is>
      </c>
      <c r="AW7" t="inlineStr">
        <is>
          <t>FOUNTAIN, BRANDON</t>
        </is>
      </c>
      <c r="AX7" t="inlineStr">
        <is>
          <t>WD6-M147769-00</t>
        </is>
      </c>
      <c r="AY7" t="n">
        <v>2025</v>
      </c>
      <c r="AZ7" t="n">
        <v>0</v>
      </c>
      <c r="BA7" t="inlineStr">
        <is>
          <t>83-0016770801</t>
        </is>
      </c>
      <c r="BB7" t="n">
        <v>0</v>
      </c>
      <c r="BC7" t="n">
        <v>1</v>
      </c>
    </row>
    <row r="8">
      <c r="A8" t="inlineStr">
        <is>
          <t>1521764304</t>
        </is>
      </c>
      <c r="B8" t="inlineStr">
        <is>
          <t>AMAROK LLC</t>
        </is>
      </c>
      <c r="C8" t="inlineStr">
        <is>
          <t>83-00167709</t>
        </is>
      </c>
      <c r="D8" t="inlineStr">
        <is>
          <t>01</t>
        </is>
      </c>
      <c r="E8" t="inlineStr">
        <is>
          <t>Lashley, Barry</t>
        </is>
      </c>
      <c r="F8" t="inlineStr">
        <is>
          <t>550 Assembly St, Columbia, SC</t>
        </is>
      </c>
      <c r="G8" t="inlineStr">
        <is>
          <t>SC</t>
        </is>
      </c>
      <c r="H8" t="inlineStr">
        <is>
          <t>WD6</t>
        </is>
      </c>
      <c r="I8" t="inlineStr">
        <is>
          <t>M147769</t>
        </is>
      </c>
      <c r="J8" t="inlineStr">
        <is>
          <t>00</t>
        </is>
      </c>
      <c r="K8" t="inlineStr">
        <is>
          <t>10/01/2025</t>
        </is>
      </c>
      <c r="L8" t="inlineStr">
        <is>
          <t>10/01/2026</t>
        </is>
      </c>
      <c r="M8" t="inlineStr">
        <is>
          <t>11/04/2025</t>
        </is>
      </c>
      <c r="N8" t="inlineStr">
        <is>
          <t>11/06/2025</t>
        </is>
      </c>
      <c r="O8" t="n">
        <v>2</v>
      </c>
      <c r="P8" t="inlineStr">
        <is>
          <t>closed</t>
        </is>
      </c>
      <c r="Q8" t="inlineStr">
        <is>
          <t>11/21/2025</t>
        </is>
      </c>
      <c r="R8" t="inlineStr">
        <is>
          <t>WC Coverage - Other than Med</t>
        </is>
      </c>
      <c r="S8" t="n">
        <v>0</v>
      </c>
      <c r="T8" t="n">
        <v>0</v>
      </c>
      <c r="U8" t="n">
        <v>0</v>
      </c>
      <c r="V8" t="n">
        <v>0</v>
      </c>
      <c r="W8" t="n">
        <v>0</v>
      </c>
      <c r="X8" t="n">
        <v>0</v>
      </c>
      <c r="Y8" t="n">
        <v>0</v>
      </c>
      <c r="Z8" t="n">
        <v>0</v>
      </c>
      <c r="AA8" t="n">
        <v>0</v>
      </c>
      <c r="AB8" t="n">
        <v>0</v>
      </c>
      <c r="AC8" t="n">
        <v>0</v>
      </c>
      <c r="AE8" t="inlineStr">
        <is>
          <t>MP-Multiple Body Parts</t>
        </is>
      </c>
      <c r="AF8" t="inlineStr">
        <is>
          <t>D4-Strain</t>
        </is>
      </c>
      <c r="AG8" t="inlineStr">
        <is>
          <t>J1-Collision with another vehicle</t>
        </is>
      </c>
      <c r="AL8" t="inlineStr"/>
      <c r="AM8" t="inlineStr">
        <is>
          <t>Unknown</t>
        </is>
      </c>
      <c r="AN8" t="inlineStr">
        <is>
          <t>Tuesday</t>
        </is>
      </c>
      <c r="AO8" t="inlineStr">
        <is>
          <t> </t>
        </is>
      </c>
      <c r="AW8" t="inlineStr">
        <is>
          <t>FOUNTAIN, BRANDON</t>
        </is>
      </c>
      <c r="AX8" t="inlineStr">
        <is>
          <t>WD6-M147769-00</t>
        </is>
      </c>
      <c r="AY8" t="n">
        <v>2025</v>
      </c>
      <c r="AZ8" t="n">
        <v>0</v>
      </c>
      <c r="BA8" t="inlineStr">
        <is>
          <t>83-0016770901</t>
        </is>
      </c>
      <c r="BB8" t="n">
        <v>0</v>
      </c>
      <c r="BC8" t="n">
        <v>0</v>
      </c>
    </row>
    <row r="9">
      <c r="A9" t="inlineStr">
        <is>
          <t>1521764304</t>
        </is>
      </c>
      <c r="B9" t="inlineStr">
        <is>
          <t>AMAROK LLC</t>
        </is>
      </c>
      <c r="C9" t="inlineStr">
        <is>
          <t>83-00170804</t>
        </is>
      </c>
      <c r="D9" t="inlineStr">
        <is>
          <t>01</t>
        </is>
      </c>
      <c r="E9" t="inlineStr">
        <is>
          <t>Fleming, Patrick</t>
        </is>
      </c>
      <c r="F9" t="inlineStr">
        <is>
          <t>California</t>
        </is>
      </c>
      <c r="G9" t="inlineStr">
        <is>
          <t>CA</t>
        </is>
      </c>
      <c r="H9" t="inlineStr">
        <is>
          <t>WD6</t>
        </is>
      </c>
      <c r="I9" t="inlineStr">
        <is>
          <t>M147769</t>
        </is>
      </c>
      <c r="J9" t="inlineStr">
        <is>
          <t>00</t>
        </is>
      </c>
      <c r="K9" t="inlineStr">
        <is>
          <t>10/01/2025</t>
        </is>
      </c>
      <c r="L9" t="inlineStr">
        <is>
          <t>10/01/2026</t>
        </is>
      </c>
      <c r="M9" t="inlineStr">
        <is>
          <t>01/07/2026</t>
        </is>
      </c>
      <c r="N9" t="inlineStr">
        <is>
          <t>01/09/2026</t>
        </is>
      </c>
      <c r="O9" t="n">
        <v>2</v>
      </c>
      <c r="P9" t="inlineStr">
        <is>
          <t>open</t>
        </is>
      </c>
      <c r="R9" t="inlineStr">
        <is>
          <t>WC Coverage - Other than Med</t>
        </is>
      </c>
      <c r="S9" t="n">
        <v>6731.39</v>
      </c>
      <c r="T9" t="n">
        <v>8268.610000000001</v>
      </c>
      <c r="U9" t="n">
        <v>15000</v>
      </c>
      <c r="V9" t="n">
        <v>6244.07</v>
      </c>
      <c r="W9" t="n">
        <v>1755.93</v>
      </c>
      <c r="X9" t="n">
        <v>23000</v>
      </c>
      <c r="Y9" t="n">
        <v>0</v>
      </c>
      <c r="Z9" t="n">
        <v>0</v>
      </c>
      <c r="AA9" t="n">
        <v>0</v>
      </c>
      <c r="AB9" t="n">
        <v>0</v>
      </c>
      <c r="AC9" t="n">
        <v>0</v>
      </c>
      <c r="AE9" t="inlineStr">
        <is>
          <t>F7-Multiple Trunk</t>
        </is>
      </c>
      <c r="AF9" t="inlineStr">
        <is>
          <t>D4-Strain</t>
        </is>
      </c>
      <c r="AG9" t="inlineStr">
        <is>
          <t>J1-Collision with another vehicle</t>
        </is>
      </c>
      <c r="AL9" t="inlineStr"/>
      <c r="AM9" t="inlineStr">
        <is>
          <t>Field Technician</t>
        </is>
      </c>
      <c r="AN9" t="inlineStr">
        <is>
          <t>Wednesday</t>
        </is>
      </c>
      <c r="AO9" t="inlineStr">
        <is>
          <t> </t>
        </is>
      </c>
      <c r="AW9" t="inlineStr">
        <is>
          <t>LOZANO, ASHLEY</t>
        </is>
      </c>
      <c r="AX9" t="inlineStr">
        <is>
          <t>WD6-M147769-00</t>
        </is>
      </c>
      <c r="AY9" t="n">
        <v>2025</v>
      </c>
      <c r="AZ9" t="n">
        <v>0</v>
      </c>
      <c r="BA9" t="inlineStr">
        <is>
          <t>83-0017080401</t>
        </is>
      </c>
      <c r="BB9" t="n">
        <v>15000</v>
      </c>
      <c r="BC9" t="n">
        <v>0</v>
      </c>
    </row>
    <row r="10">
      <c r="A10" t="inlineStr">
        <is>
          <t>1521764304</t>
        </is>
      </c>
      <c r="B10" t="inlineStr">
        <is>
          <t>AMAROK LLC</t>
        </is>
      </c>
      <c r="C10" t="inlineStr">
        <is>
          <t>83-00167710</t>
        </is>
      </c>
      <c r="D10" t="inlineStr">
        <is>
          <t>02</t>
        </is>
      </c>
      <c r="E10" t="inlineStr">
        <is>
          <t>Spradley, Brian</t>
        </is>
      </c>
      <c r="F10" t="inlineStr">
        <is>
          <t>550 Assembly St, Columbia, SC</t>
        </is>
      </c>
      <c r="G10" t="inlineStr">
        <is>
          <t>SC</t>
        </is>
      </c>
      <c r="H10" t="inlineStr">
        <is>
          <t>WD6</t>
        </is>
      </c>
      <c r="I10" t="inlineStr">
        <is>
          <t>M147769</t>
        </is>
      </c>
      <c r="J10" t="inlineStr">
        <is>
          <t>00</t>
        </is>
      </c>
      <c r="K10" t="inlineStr">
        <is>
          <t>10/01/2025</t>
        </is>
      </c>
      <c r="L10" t="inlineStr">
        <is>
          <t>10/01/2026</t>
        </is>
      </c>
      <c r="M10" t="inlineStr">
        <is>
          <t>11/04/2025</t>
        </is>
      </c>
      <c r="N10" t="inlineStr">
        <is>
          <t>11/06/2025</t>
        </is>
      </c>
      <c r="O10" t="n">
        <v>2</v>
      </c>
      <c r="P10" t="inlineStr">
        <is>
          <t>closed</t>
        </is>
      </c>
      <c r="Q10" t="inlineStr">
        <is>
          <t>11/21/2025</t>
        </is>
      </c>
      <c r="R10" t="inlineStr">
        <is>
          <t>WC Coverage -Med Only</t>
        </is>
      </c>
      <c r="S10" t="n">
        <v>0</v>
      </c>
      <c r="T10" t="n">
        <v>1044.69</v>
      </c>
      <c r="U10" t="n">
        <v>1044.69</v>
      </c>
      <c r="V10" t="n">
        <v>0</v>
      </c>
      <c r="W10" t="n">
        <v>33.5</v>
      </c>
      <c r="X10" t="n">
        <v>1078.19</v>
      </c>
      <c r="Y10" t="n">
        <v>0</v>
      </c>
      <c r="Z10" t="n">
        <v>0</v>
      </c>
      <c r="AA10" t="n">
        <v>0</v>
      </c>
      <c r="AB10" t="n">
        <v>0</v>
      </c>
      <c r="AC10" t="n">
        <v>0</v>
      </c>
      <c r="AE10" t="inlineStr">
        <is>
          <t>MP-Multiple Body Parts</t>
        </is>
      </c>
      <c r="AF10" t="inlineStr">
        <is>
          <t>D4-Strain</t>
        </is>
      </c>
      <c r="AG10" t="inlineStr">
        <is>
          <t>J1-Collision with another vehicle</t>
        </is>
      </c>
      <c r="AL10" t="inlineStr"/>
      <c r="AM10" t="inlineStr">
        <is>
          <t>Unknown</t>
        </is>
      </c>
      <c r="AN10" t="inlineStr">
        <is>
          <t>Tuesday</t>
        </is>
      </c>
      <c r="AO10" t="inlineStr">
        <is>
          <t> </t>
        </is>
      </c>
      <c r="AW10" t="inlineStr">
        <is>
          <t>FOUNTAIN, BRANDON</t>
        </is>
      </c>
      <c r="AX10" t="inlineStr">
        <is>
          <t>WD6-M147769-00</t>
        </is>
      </c>
      <c r="AY10" t="n">
        <v>2025</v>
      </c>
      <c r="AZ10" t="n">
        <v>0</v>
      </c>
      <c r="BA10" t="inlineStr">
        <is>
          <t>83-0016771002</t>
        </is>
      </c>
      <c r="BB10" t="n">
        <v>1044.69</v>
      </c>
      <c r="BC10" t="n">
        <v>0</v>
      </c>
    </row>
    <row r="11">
      <c r="A11" t="inlineStr">
        <is>
          <t>1521764304</t>
        </is>
      </c>
      <c r="B11" t="inlineStr">
        <is>
          <t>AMAROK LLC</t>
        </is>
      </c>
      <c r="C11" t="inlineStr">
        <is>
          <t>85-00916504</t>
        </is>
      </c>
      <c r="D11" t="inlineStr"/>
      <c r="E11" t="inlineStr"/>
      <c r="F11" t="inlineStr">
        <is>
          <t>550 Assembly St, Columbia, SC</t>
        </is>
      </c>
      <c r="G11" t="inlineStr">
        <is>
          <t>NV</t>
        </is>
      </c>
      <c r="H11" t="inlineStr">
        <is>
          <t>RZ6</t>
        </is>
      </c>
      <c r="I11" t="inlineStr">
        <is>
          <t>M166894</t>
        </is>
      </c>
      <c r="J11" t="inlineStr">
        <is>
          <t>00</t>
        </is>
      </c>
      <c r="K11" t="inlineStr">
        <is>
          <t>10/01/2025</t>
        </is>
      </c>
      <c r="L11" t="inlineStr">
        <is>
          <t>10/01/2026</t>
        </is>
      </c>
      <c r="M11" t="inlineStr">
        <is>
          <t>10/15/2025</t>
        </is>
      </c>
      <c r="N11" t="inlineStr">
        <is>
          <t>02/13/2026</t>
        </is>
      </c>
      <c r="O11" t="n">
        <v>121</v>
      </c>
      <c r="P11" t="inlineStr">
        <is>
          <t>open</t>
        </is>
      </c>
      <c r="S11" t="n">
        <v>0</v>
      </c>
      <c r="T11" t="n">
        <v>0</v>
      </c>
      <c r="U11" t="n">
        <v>0</v>
      </c>
      <c r="V11" t="n">
        <v>0</v>
      </c>
      <c r="W11" t="n">
        <v>0</v>
      </c>
      <c r="X11" t="n">
        <v>0</v>
      </c>
      <c r="Y11" t="n">
        <v>0</v>
      </c>
      <c r="Z11" t="n">
        <v>0</v>
      </c>
      <c r="AA11" t="n">
        <v>0</v>
      </c>
      <c r="AB11" t="n">
        <v>0</v>
      </c>
      <c r="AC11" t="n">
        <v>0</v>
      </c>
      <c r="AE11" t="inlineStr">
        <is>
          <t>Professional Liability</t>
        </is>
      </c>
      <c r="AF11" t="inlineStr">
        <is>
          <t>Electrical</t>
        </is>
      </c>
      <c r="AG11" t="inlineStr">
        <is>
          <t>Personal Injury</t>
        </is>
      </c>
      <c r="AL11" t="inlineStr"/>
      <c r="AM11" t="inlineStr">
        <is>
          <t> </t>
        </is>
      </c>
      <c r="AN11" t="inlineStr">
        <is>
          <t>Wednesday</t>
        </is>
      </c>
      <c r="AO11" t="inlineStr">
        <is>
          <t> </t>
        </is>
      </c>
      <c r="AX11" t="inlineStr">
        <is>
          <t>RZ6-M166894-00</t>
        </is>
      </c>
      <c r="AY11" t="n">
        <v>2025</v>
      </c>
      <c r="AZ11" t="n">
        <v>0</v>
      </c>
      <c r="BA11" t="inlineStr">
        <is>
          <t>85-00916504</t>
        </is>
      </c>
      <c r="BB11" t="n">
        <v>0</v>
      </c>
      <c r="BC11" t="n">
        <v>1</v>
      </c>
    </row>
    <row r="12">
      <c r="A12" t="inlineStr">
        <is>
          <t>1521764304</t>
        </is>
      </c>
      <c r="B12" t="inlineStr">
        <is>
          <t>AMAROK LLC</t>
        </is>
      </c>
      <c r="C12" t="inlineStr">
        <is>
          <t>85-00937525</t>
        </is>
      </c>
      <c r="D12" t="inlineStr">
        <is>
          <t>02</t>
        </is>
      </c>
      <c r="E12" t="inlineStr">
        <is>
          <t>Sarkissian, Aram</t>
        </is>
      </c>
      <c r="G12" t="inlineStr">
        <is>
          <t>CA</t>
        </is>
      </c>
      <c r="H12" t="inlineStr">
        <is>
          <t>AH6</t>
        </is>
      </c>
      <c r="I12" t="inlineStr">
        <is>
          <t>M147006</t>
        </is>
      </c>
      <c r="J12" t="inlineStr">
        <is>
          <t>00</t>
        </is>
      </c>
      <c r="K12" t="inlineStr">
        <is>
          <t>10/01/2025</t>
        </is>
      </c>
      <c r="L12" t="inlineStr">
        <is>
          <t>10/01/2026</t>
        </is>
      </c>
      <c r="M12" t="inlineStr">
        <is>
          <t>03/20/2026</t>
        </is>
      </c>
      <c r="N12" t="inlineStr">
        <is>
          <t>03/24/2026</t>
        </is>
      </c>
      <c r="O12" t="n">
        <v>4</v>
      </c>
      <c r="P12" t="inlineStr">
        <is>
          <t>open</t>
        </is>
      </c>
      <c r="R12" t="inlineStr">
        <is>
          <t>Liability - VehicleDamage</t>
        </is>
      </c>
      <c r="S12" t="n">
        <v>0</v>
      </c>
      <c r="T12" t="n">
        <v>0</v>
      </c>
      <c r="U12" t="n">
        <v>0</v>
      </c>
      <c r="V12" t="n">
        <v>0</v>
      </c>
      <c r="W12" t="n">
        <v>0</v>
      </c>
      <c r="X12" t="n">
        <v>0</v>
      </c>
      <c r="Y12" t="n">
        <v>0</v>
      </c>
      <c r="Z12" t="n">
        <v>0</v>
      </c>
      <c r="AA12" t="n">
        <v>0</v>
      </c>
      <c r="AB12" t="n">
        <v>0</v>
      </c>
      <c r="AC12" t="n">
        <v>0</v>
      </c>
      <c r="AE12" t="inlineStr">
        <is>
          <t>Struck By Other Object</t>
        </is>
      </c>
      <c r="AF12" t="inlineStr">
        <is>
          <t>OV Struck IV</t>
        </is>
      </c>
      <c r="AG12" t="inlineStr">
        <is>
          <t>OV Opened Door</t>
        </is>
      </c>
      <c r="AL12" t="inlineStr"/>
      <c r="AM12" t="inlineStr">
        <is>
          <t> </t>
        </is>
      </c>
      <c r="AN12" t="inlineStr">
        <is>
          <t>Friday</t>
        </is>
      </c>
      <c r="AO12" t="inlineStr">
        <is>
          <t>MARCOS PENA</t>
        </is>
      </c>
      <c r="AW12" t="inlineStr">
        <is>
          <t>MANCINI, MICHAEL</t>
        </is>
      </c>
      <c r="AX12" t="inlineStr">
        <is>
          <t>AH6-M147006-00</t>
        </is>
      </c>
      <c r="AY12" t="n">
        <v>2025</v>
      </c>
      <c r="AZ12" t="n">
        <v>0</v>
      </c>
      <c r="BA12" t="inlineStr">
        <is>
          <t>85-0093752502</t>
        </is>
      </c>
      <c r="BB12" t="n">
        <v>0</v>
      </c>
      <c r="BC12" t="n">
        <v>1</v>
      </c>
    </row>
    <row r="13">
      <c r="A13" t="inlineStr">
        <is>
          <t>1521764304</t>
        </is>
      </c>
      <c r="B13" t="inlineStr">
        <is>
          <t>AMAROK LLC</t>
        </is>
      </c>
      <c r="C13" t="inlineStr">
        <is>
          <t>85-00898010</t>
        </is>
      </c>
      <c r="D13" t="inlineStr">
        <is>
          <t>01</t>
        </is>
      </c>
      <c r="E13" t="inlineStr">
        <is>
          <t>AMAROK LLC</t>
        </is>
      </c>
      <c r="G13" t="inlineStr">
        <is>
          <t>CA</t>
        </is>
      </c>
      <c r="H13" t="inlineStr">
        <is>
          <t>AH6</t>
        </is>
      </c>
      <c r="I13" t="inlineStr">
        <is>
          <t>M147006</t>
        </is>
      </c>
      <c r="J13" t="inlineStr">
        <is>
          <t>00</t>
        </is>
      </c>
      <c r="K13" t="inlineStr">
        <is>
          <t>10/01/2025</t>
        </is>
      </c>
      <c r="L13" t="inlineStr">
        <is>
          <t>10/01/2026</t>
        </is>
      </c>
      <c r="M13" t="inlineStr">
        <is>
          <t>01/07/2026</t>
        </is>
      </c>
      <c r="N13" t="inlineStr">
        <is>
          <t>01/09/2026</t>
        </is>
      </c>
      <c r="O13" t="n">
        <v>2</v>
      </c>
      <c r="P13" t="inlineStr">
        <is>
          <t>closed</t>
        </is>
      </c>
      <c r="Q13" t="inlineStr">
        <is>
          <t>03/06/2026</t>
        </is>
      </c>
      <c r="R13" t="inlineStr">
        <is>
          <t>Collision</t>
        </is>
      </c>
      <c r="S13" t="n">
        <v>0</v>
      </c>
      <c r="T13" t="n">
        <v>10385.97</v>
      </c>
      <c r="U13" t="n">
        <v>10385.97</v>
      </c>
      <c r="V13" t="n">
        <v>0</v>
      </c>
      <c r="W13" t="n">
        <v>0</v>
      </c>
      <c r="X13" t="n">
        <v>10385.97</v>
      </c>
      <c r="Y13" t="n">
        <v>-10123.1</v>
      </c>
      <c r="Z13" t="n">
        <v>-27675.5</v>
      </c>
      <c r="AA13" t="n">
        <v>-18369.17</v>
      </c>
      <c r="AB13" t="n">
        <v>0</v>
      </c>
      <c r="AC13" t="n">
        <v>0</v>
      </c>
      <c r="AE13" t="inlineStr">
        <is>
          <t>Intersection Accident</t>
        </is>
      </c>
      <c r="AF13" t="inlineStr">
        <is>
          <t>IV And OV Going Straight</t>
        </is>
      </c>
      <c r="AG13" t="inlineStr">
        <is>
          <t>OV Ran Sign/Light</t>
        </is>
      </c>
      <c r="AL13" t="inlineStr"/>
      <c r="AM13" t="inlineStr">
        <is>
          <t> </t>
        </is>
      </c>
      <c r="AN13" t="inlineStr">
        <is>
          <t>Wednesday</t>
        </is>
      </c>
      <c r="AO13" t="inlineStr">
        <is>
          <t>Patrick Fleming</t>
        </is>
      </c>
      <c r="AP13" t="inlineStr">
        <is>
          <t>Y</t>
        </is>
      </c>
      <c r="AQ13" t="n">
        <v>2025</v>
      </c>
      <c r="AR13" t="inlineStr">
        <is>
          <t>Chevrolet</t>
        </is>
      </c>
      <c r="AS13" t="inlineStr">
        <is>
          <t>Express 2500</t>
        </is>
      </c>
      <c r="AT13" t="inlineStr">
        <is>
          <t>1GCWGBFP5S1206451</t>
        </is>
      </c>
      <c r="AV13" t="inlineStr">
        <is>
          <t>CA</t>
        </is>
      </c>
      <c r="AW13" t="inlineStr">
        <is>
          <t>FREUND, DANIEL</t>
        </is>
      </c>
      <c r="AX13" t="inlineStr">
        <is>
          <t>AH6-M147006-00</t>
        </is>
      </c>
      <c r="AY13" t="n">
        <v>2025</v>
      </c>
      <c r="AZ13" t="n">
        <v>0</v>
      </c>
      <c r="BA13" t="inlineStr">
        <is>
          <t>85-0089801001</t>
        </is>
      </c>
      <c r="BB13" t="n">
        <v>10385.97</v>
      </c>
      <c r="BC13" t="n">
        <v>1</v>
      </c>
    </row>
    <row r="14">
      <c r="A14" t="inlineStr">
        <is>
          <t>1521764304</t>
        </is>
      </c>
      <c r="B14" t="inlineStr">
        <is>
          <t>AMAROK LLC</t>
        </is>
      </c>
      <c r="C14" t="inlineStr">
        <is>
          <t>85-00937525</t>
        </is>
      </c>
      <c r="D14" t="inlineStr">
        <is>
          <t>01</t>
        </is>
      </c>
      <c r="E14" t="inlineStr">
        <is>
          <t>AMAROK LLC</t>
        </is>
      </c>
      <c r="G14" t="inlineStr">
        <is>
          <t>CA</t>
        </is>
      </c>
      <c r="H14" t="inlineStr">
        <is>
          <t>AH6</t>
        </is>
      </c>
      <c r="I14" t="inlineStr">
        <is>
          <t>M147006</t>
        </is>
      </c>
      <c r="J14" t="inlineStr">
        <is>
          <t>00</t>
        </is>
      </c>
      <c r="K14" t="inlineStr">
        <is>
          <t>10/01/2025</t>
        </is>
      </c>
      <c r="L14" t="inlineStr">
        <is>
          <t>10/01/2026</t>
        </is>
      </c>
      <c r="M14" t="inlineStr">
        <is>
          <t>03/20/2026</t>
        </is>
      </c>
      <c r="N14" t="inlineStr">
        <is>
          <t>03/24/2026</t>
        </is>
      </c>
      <c r="O14" t="n">
        <v>4</v>
      </c>
      <c r="P14" t="inlineStr">
        <is>
          <t>open</t>
        </is>
      </c>
      <c r="R14" t="inlineStr">
        <is>
          <t>Collision</t>
        </is>
      </c>
      <c r="S14" t="n">
        <v>0</v>
      </c>
      <c r="T14" t="n">
        <v>537.1</v>
      </c>
      <c r="U14" t="n">
        <v>537.1</v>
      </c>
      <c r="V14" t="n">
        <v>0</v>
      </c>
      <c r="W14" t="n">
        <v>0</v>
      </c>
      <c r="X14" t="n">
        <v>537.1</v>
      </c>
      <c r="Y14" t="n">
        <v>0</v>
      </c>
      <c r="Z14" t="n">
        <v>0</v>
      </c>
      <c r="AA14" t="n">
        <v>0</v>
      </c>
      <c r="AB14" t="n">
        <v>0</v>
      </c>
      <c r="AC14" t="n">
        <v>0</v>
      </c>
      <c r="AE14" t="inlineStr">
        <is>
          <t>Struck By Other Object</t>
        </is>
      </c>
      <c r="AF14" t="inlineStr">
        <is>
          <t>OV Struck IV</t>
        </is>
      </c>
      <c r="AG14" t="inlineStr">
        <is>
          <t>OV Opened Door</t>
        </is>
      </c>
      <c r="AL14" t="inlineStr"/>
      <c r="AM14" t="inlineStr">
        <is>
          <t> </t>
        </is>
      </c>
      <c r="AN14" t="inlineStr">
        <is>
          <t>Friday</t>
        </is>
      </c>
      <c r="AO14" t="inlineStr">
        <is>
          <t>MARCOS PENA</t>
        </is>
      </c>
      <c r="AP14" t="inlineStr">
        <is>
          <t>N</t>
        </is>
      </c>
      <c r="AQ14" t="n">
        <v>2025</v>
      </c>
      <c r="AR14" t="inlineStr">
        <is>
          <t>Chevrolet</t>
        </is>
      </c>
      <c r="AS14" t="inlineStr">
        <is>
          <t>Express</t>
        </is>
      </c>
      <c r="AT14" t="inlineStr">
        <is>
          <t>1GCWGBFPXS1199304</t>
        </is>
      </c>
      <c r="AU14" t="inlineStr">
        <is>
          <t>82022J4</t>
        </is>
      </c>
      <c r="AV14" t="inlineStr">
        <is>
          <t>CA</t>
        </is>
      </c>
      <c r="AW14" t="inlineStr">
        <is>
          <t>MANCINI, MICHAEL</t>
        </is>
      </c>
      <c r="AX14" t="inlineStr">
        <is>
          <t>AH6-M147006-00</t>
        </is>
      </c>
      <c r="AY14" t="n">
        <v>2025</v>
      </c>
      <c r="AZ14" t="n">
        <v>0</v>
      </c>
      <c r="BA14" t="inlineStr">
        <is>
          <t>85-0093752501</t>
        </is>
      </c>
      <c r="BB14" t="n">
        <v>537.1</v>
      </c>
      <c r="BC14" t="n">
        <v>0</v>
      </c>
    </row>
    <row r="15">
      <c r="A15" t="inlineStr">
        <is>
          <t>1521764304</t>
        </is>
      </c>
      <c r="B15" t="inlineStr">
        <is>
          <t>AMAROK LLC</t>
        </is>
      </c>
      <c r="C15" t="inlineStr">
        <is>
          <t>85-00902866</t>
        </is>
      </c>
      <c r="D15" t="inlineStr"/>
      <c r="E15" t="inlineStr"/>
      <c r="F15" t="inlineStr">
        <is>
          <t>7875 Hemlock Ave, Fontana, CA</t>
        </is>
      </c>
      <c r="G15" t="inlineStr">
        <is>
          <t>CA</t>
        </is>
      </c>
      <c r="H15" t="inlineStr">
        <is>
          <t>RZ6</t>
        </is>
      </c>
      <c r="I15" t="inlineStr">
        <is>
          <t>M166894</t>
        </is>
      </c>
      <c r="J15" t="inlineStr">
        <is>
          <t>00</t>
        </is>
      </c>
      <c r="K15" t="inlineStr">
        <is>
          <t>10/01/2025</t>
        </is>
      </c>
      <c r="L15" t="inlineStr">
        <is>
          <t>10/01/2026</t>
        </is>
      </c>
      <c r="M15" t="inlineStr">
        <is>
          <t>01/16/2026</t>
        </is>
      </c>
      <c r="N15" t="inlineStr">
        <is>
          <t>01/20/2026</t>
        </is>
      </c>
      <c r="O15" t="n">
        <v>4</v>
      </c>
      <c r="P15" t="inlineStr">
        <is>
          <t>closed</t>
        </is>
      </c>
      <c r="Q15" t="inlineStr">
        <is>
          <t>01/28/2026</t>
        </is>
      </c>
      <c r="S15" t="n">
        <v>0</v>
      </c>
      <c r="T15" t="n">
        <v>0</v>
      </c>
      <c r="U15" t="n">
        <v>0</v>
      </c>
      <c r="V15" t="n">
        <v>0</v>
      </c>
      <c r="W15" t="n">
        <v>0</v>
      </c>
      <c r="X15" t="n">
        <v>0</v>
      </c>
      <c r="Y15" t="n">
        <v>0</v>
      </c>
      <c r="Z15" t="n">
        <v>0</v>
      </c>
      <c r="AA15" t="n">
        <v>0</v>
      </c>
      <c r="AB15" t="n">
        <v>0</v>
      </c>
      <c r="AC15" t="n">
        <v>0</v>
      </c>
      <c r="AE15" t="inlineStr">
        <is>
          <t>Fire</t>
        </is>
      </c>
      <c r="AF15" t="inlineStr">
        <is>
          <t>Electrical</t>
        </is>
      </c>
      <c r="AG15" t="inlineStr">
        <is>
          <t>Camera Wires</t>
        </is>
      </c>
      <c r="AL15" t="inlineStr"/>
      <c r="AM15" t="inlineStr">
        <is>
          <t> </t>
        </is>
      </c>
      <c r="AN15" t="inlineStr">
        <is>
          <t>Friday</t>
        </is>
      </c>
      <c r="AO15" t="inlineStr">
        <is>
          <t> </t>
        </is>
      </c>
      <c r="AX15" t="inlineStr">
        <is>
          <t>RZ6-M166894-00</t>
        </is>
      </c>
      <c r="AY15" t="n">
        <v>2025</v>
      </c>
      <c r="AZ15" t="n">
        <v>0</v>
      </c>
      <c r="BA15" t="inlineStr">
        <is>
          <t>85-00902866</t>
        </is>
      </c>
      <c r="BB15" t="n">
        <v>0</v>
      </c>
      <c r="BC15" t="n">
        <v>1</v>
      </c>
    </row>
    <row r="16">
      <c r="A16" t="inlineStr">
        <is>
          <t>1521764304</t>
        </is>
      </c>
      <c r="B16" t="inlineStr">
        <is>
          <t>AMAROK LLC</t>
        </is>
      </c>
      <c r="C16" t="inlineStr">
        <is>
          <t>83-00175637</t>
        </is>
      </c>
      <c r="D16" t="inlineStr">
        <is>
          <t>01</t>
        </is>
      </c>
      <c r="E16" t="inlineStr">
        <is>
          <t>Anderson, Travis</t>
        </is>
      </c>
      <c r="F16" t="inlineStr">
        <is>
          <t>261 The Boulevard, Columbia, SC</t>
        </is>
      </c>
      <c r="G16" t="inlineStr">
        <is>
          <t>SC</t>
        </is>
      </c>
      <c r="H16" t="inlineStr">
        <is>
          <t>WD6</t>
        </is>
      </c>
      <c r="I16" t="inlineStr">
        <is>
          <t>M147769</t>
        </is>
      </c>
      <c r="J16" t="inlineStr">
        <is>
          <t>00</t>
        </is>
      </c>
      <c r="K16" t="inlineStr">
        <is>
          <t>10/01/2025</t>
        </is>
      </c>
      <c r="L16" t="inlineStr">
        <is>
          <t>10/01/2026</t>
        </is>
      </c>
      <c r="M16" t="inlineStr">
        <is>
          <t>03/11/2026</t>
        </is>
      </c>
      <c r="N16" t="inlineStr">
        <is>
          <t>03/30/2026</t>
        </is>
      </c>
      <c r="O16" t="n">
        <v>19</v>
      </c>
      <c r="P16" t="inlineStr">
        <is>
          <t>closed</t>
        </is>
      </c>
      <c r="Q16" t="inlineStr">
        <is>
          <t>04/06/2026</t>
        </is>
      </c>
      <c r="R16" t="inlineStr">
        <is>
          <t>WC Coverage - Other than Med</t>
        </is>
      </c>
      <c r="S16" t="n">
        <v>0</v>
      </c>
      <c r="T16" t="n">
        <v>0</v>
      </c>
      <c r="U16" t="n">
        <v>0</v>
      </c>
      <c r="V16" t="n">
        <v>0</v>
      </c>
      <c r="W16" t="n">
        <v>0</v>
      </c>
      <c r="X16" t="n">
        <v>0</v>
      </c>
      <c r="Y16" t="n">
        <v>0</v>
      </c>
      <c r="Z16" t="n">
        <v>0</v>
      </c>
      <c r="AA16" t="n">
        <v>0</v>
      </c>
      <c r="AB16" t="n">
        <v>0</v>
      </c>
      <c r="AC16" t="n">
        <v>0</v>
      </c>
      <c r="AE16" t="inlineStr">
        <is>
          <t>H5-Knee</t>
        </is>
      </c>
      <c r="AF16" t="inlineStr">
        <is>
          <t>D4-Strain</t>
        </is>
      </c>
      <c r="AG16" t="inlineStr">
        <is>
          <t>L9-Strain or injury by - misc.</t>
        </is>
      </c>
      <c r="AL16" t="inlineStr"/>
      <c r="AM16" t="inlineStr">
        <is>
          <t>Warehouse Logistics Coordinator</t>
        </is>
      </c>
      <c r="AN16" t="inlineStr">
        <is>
          <t>Wednesday</t>
        </is>
      </c>
      <c r="AO16" t="inlineStr">
        <is>
          <t> </t>
        </is>
      </c>
      <c r="AW16" t="inlineStr">
        <is>
          <t>GADDAM, TINEAL</t>
        </is>
      </c>
      <c r="AX16" t="inlineStr">
        <is>
          <t>WD6-M147769-00</t>
        </is>
      </c>
      <c r="AY16" t="n">
        <v>2025</v>
      </c>
      <c r="AZ16" t="n">
        <v>0</v>
      </c>
      <c r="BA16" t="inlineStr">
        <is>
          <t>83-0017563701</t>
        </is>
      </c>
      <c r="BB16" t="n">
        <v>0</v>
      </c>
      <c r="BC16" t="n">
        <v>1</v>
      </c>
    </row>
    <row r="17">
      <c r="A17" t="inlineStr">
        <is>
          <t>1521764304</t>
        </is>
      </c>
      <c r="B17" t="inlineStr">
        <is>
          <t>AMAROK LLC</t>
        </is>
      </c>
      <c r="C17" t="inlineStr">
        <is>
          <t>83-00173191</t>
        </is>
      </c>
      <c r="D17" t="inlineStr">
        <is>
          <t>01</t>
        </is>
      </c>
      <c r="E17" t="inlineStr">
        <is>
          <t>Wallace, Tien</t>
        </is>
      </c>
      <c r="F17" t="inlineStr">
        <is>
          <t>Indiana</t>
        </is>
      </c>
      <c r="G17" t="inlineStr">
        <is>
          <t>IN</t>
        </is>
      </c>
      <c r="H17" t="inlineStr">
        <is>
          <t>WD6</t>
        </is>
      </c>
      <c r="I17" t="inlineStr">
        <is>
          <t>M147769</t>
        </is>
      </c>
      <c r="J17" t="inlineStr">
        <is>
          <t>00</t>
        </is>
      </c>
      <c r="K17" t="inlineStr">
        <is>
          <t>10/01/2025</t>
        </is>
      </c>
      <c r="L17" t="inlineStr">
        <is>
          <t>10/01/2026</t>
        </is>
      </c>
      <c r="M17" t="inlineStr">
        <is>
          <t>02/02/2026</t>
        </is>
      </c>
      <c r="N17" t="inlineStr">
        <is>
          <t>02/18/2026</t>
        </is>
      </c>
      <c r="O17" t="n">
        <v>16</v>
      </c>
      <c r="P17" t="inlineStr">
        <is>
          <t>open</t>
        </is>
      </c>
      <c r="R17" t="inlineStr">
        <is>
          <t>WC Coverage - Other than Med</t>
        </is>
      </c>
      <c r="S17" t="n">
        <v>0</v>
      </c>
      <c r="T17" t="n">
        <v>0</v>
      </c>
      <c r="U17" t="n">
        <v>0</v>
      </c>
      <c r="V17" t="n">
        <v>0</v>
      </c>
      <c r="W17" t="n">
        <v>0</v>
      </c>
      <c r="X17" t="n">
        <v>0</v>
      </c>
      <c r="Y17" t="n">
        <v>0</v>
      </c>
      <c r="Z17" t="n">
        <v>0</v>
      </c>
      <c r="AA17" t="n">
        <v>0</v>
      </c>
      <c r="AB17" t="n">
        <v>0</v>
      </c>
      <c r="AC17" t="n">
        <v>0</v>
      </c>
      <c r="AE17" t="inlineStr">
        <is>
          <t>F2-Chest (Ribs)</t>
        </is>
      </c>
      <c r="AF17" t="inlineStr">
        <is>
          <t>B6-Fracture</t>
        </is>
      </c>
      <c r="AG17" t="inlineStr">
        <is>
          <t>F2-Fall/slip - ladder</t>
        </is>
      </c>
      <c r="AL17" t="inlineStr"/>
      <c r="AM17" t="inlineStr">
        <is>
          <t>Field Tech</t>
        </is>
      </c>
      <c r="AN17" t="inlineStr">
        <is>
          <t>Monday</t>
        </is>
      </c>
      <c r="AO17" t="inlineStr">
        <is>
          <t> </t>
        </is>
      </c>
      <c r="AW17" t="inlineStr">
        <is>
          <t>FOWLER, JENNA</t>
        </is>
      </c>
      <c r="AX17" t="inlineStr">
        <is>
          <t>WD6-M147769-00</t>
        </is>
      </c>
      <c r="AY17" t="n">
        <v>2025</v>
      </c>
      <c r="AZ17" t="n">
        <v>0</v>
      </c>
      <c r="BA17" t="inlineStr">
        <is>
          <t>83-0017319101</t>
        </is>
      </c>
      <c r="BB17" t="n">
        <v>0</v>
      </c>
      <c r="BC17" t="n">
        <v>1</v>
      </c>
    </row>
    <row r="18">
      <c r="A18" t="inlineStr">
        <is>
          <t>1521764304</t>
        </is>
      </c>
      <c r="B18" t="inlineStr">
        <is>
          <t>AMAROK LLC</t>
        </is>
      </c>
      <c r="C18" t="inlineStr">
        <is>
          <t>85-00916705</t>
        </is>
      </c>
      <c r="D18" t="inlineStr"/>
      <c r="E18" t="inlineStr"/>
      <c r="G18" t="inlineStr">
        <is>
          <t>MA</t>
        </is>
      </c>
      <c r="H18" t="inlineStr">
        <is>
          <t>AH6</t>
        </is>
      </c>
      <c r="I18" t="inlineStr">
        <is>
          <t>M147006</t>
        </is>
      </c>
      <c r="J18" t="inlineStr">
        <is>
          <t>00</t>
        </is>
      </c>
      <c r="K18" t="inlineStr">
        <is>
          <t>10/01/2025</t>
        </is>
      </c>
      <c r="L18" t="inlineStr">
        <is>
          <t>10/01/2026</t>
        </is>
      </c>
      <c r="M18" t="inlineStr">
        <is>
          <t>02/12/2026</t>
        </is>
      </c>
      <c r="N18" t="inlineStr">
        <is>
          <t>02/13/2026</t>
        </is>
      </c>
      <c r="O18" t="n">
        <v>1</v>
      </c>
      <c r="P18" t="inlineStr">
        <is>
          <t>open</t>
        </is>
      </c>
      <c r="S18" t="n">
        <v>0</v>
      </c>
      <c r="T18" t="n">
        <v>0</v>
      </c>
      <c r="U18" t="n">
        <v>0</v>
      </c>
      <c r="V18" t="n">
        <v>0</v>
      </c>
      <c r="W18" t="n">
        <v>0</v>
      </c>
      <c r="X18" t="n">
        <v>0</v>
      </c>
      <c r="Y18" t="n">
        <v>0</v>
      </c>
      <c r="Z18" t="n">
        <v>0</v>
      </c>
      <c r="AA18" t="n">
        <v>0</v>
      </c>
      <c r="AB18" t="n">
        <v>0</v>
      </c>
      <c r="AC18" t="n">
        <v>0</v>
      </c>
      <c r="AE18" t="inlineStr">
        <is>
          <t>Backing Accident</t>
        </is>
      </c>
      <c r="AF18" t="inlineStr">
        <is>
          <t>IV Struck Other Object</t>
        </is>
      </c>
      <c r="AG18" t="inlineStr">
        <is>
          <t>Weather Related Conditions</t>
        </is>
      </c>
      <c r="AL18" t="inlineStr"/>
      <c r="AM18" t="inlineStr">
        <is>
          <t> </t>
        </is>
      </c>
      <c r="AN18" t="inlineStr">
        <is>
          <t>Thursday</t>
        </is>
      </c>
      <c r="AO18" t="inlineStr">
        <is>
          <t> </t>
        </is>
      </c>
      <c r="AX18" t="inlineStr">
        <is>
          <t>AH6-M147006-00</t>
        </is>
      </c>
      <c r="AY18" t="n">
        <v>2025</v>
      </c>
      <c r="AZ18" t="n">
        <v>0</v>
      </c>
      <c r="BA18" t="inlineStr">
        <is>
          <t>85-00916705</t>
        </is>
      </c>
      <c r="BB18" t="n">
        <v>0</v>
      </c>
      <c r="BC18" t="n">
        <v>1</v>
      </c>
    </row>
    <row r="19">
      <c r="A19" t="inlineStr">
        <is>
          <t>1521764304</t>
        </is>
      </c>
      <c r="B19" t="inlineStr">
        <is>
          <t>AMAROK LLC</t>
        </is>
      </c>
      <c r="C19" t="inlineStr">
        <is>
          <t>83-00173191</t>
        </is>
      </c>
      <c r="D19" t="inlineStr">
        <is>
          <t>02</t>
        </is>
      </c>
      <c r="E19" t="inlineStr">
        <is>
          <t>Wallace, Tien</t>
        </is>
      </c>
      <c r="F19" t="inlineStr">
        <is>
          <t>Indiana</t>
        </is>
      </c>
      <c r="G19" t="inlineStr">
        <is>
          <t>IN</t>
        </is>
      </c>
      <c r="H19" t="inlineStr">
        <is>
          <t>WD6</t>
        </is>
      </c>
      <c r="I19" t="inlineStr">
        <is>
          <t>M147769</t>
        </is>
      </c>
      <c r="J19" t="inlineStr">
        <is>
          <t>00</t>
        </is>
      </c>
      <c r="K19" t="inlineStr">
        <is>
          <t>10/01/2025</t>
        </is>
      </c>
      <c r="L19" t="inlineStr">
        <is>
          <t>10/01/2026</t>
        </is>
      </c>
      <c r="M19" t="inlineStr">
        <is>
          <t>02/02/2026</t>
        </is>
      </c>
      <c r="N19" t="inlineStr">
        <is>
          <t>02/18/2026</t>
        </is>
      </c>
      <c r="O19" t="n">
        <v>16</v>
      </c>
      <c r="P19" t="inlineStr">
        <is>
          <t>open</t>
        </is>
      </c>
      <c r="R19" t="inlineStr">
        <is>
          <t>WC Coverage -Med Only</t>
        </is>
      </c>
      <c r="S19" t="n">
        <v>0</v>
      </c>
      <c r="T19" t="n">
        <v>0</v>
      </c>
      <c r="U19" t="n">
        <v>0</v>
      </c>
      <c r="V19" t="n">
        <v>0</v>
      </c>
      <c r="W19" t="n">
        <v>0</v>
      </c>
      <c r="X19" t="n">
        <v>0</v>
      </c>
      <c r="Y19" t="n">
        <v>0</v>
      </c>
      <c r="Z19" t="n">
        <v>0</v>
      </c>
      <c r="AA19" t="n">
        <v>0</v>
      </c>
      <c r="AB19" t="n">
        <v>0</v>
      </c>
      <c r="AC19" t="n">
        <v>0</v>
      </c>
      <c r="AE19" t="inlineStr">
        <is>
          <t>F2-Chest (Ribs)</t>
        </is>
      </c>
      <c r="AF19" t="inlineStr">
        <is>
          <t>B6-Fracture</t>
        </is>
      </c>
      <c r="AG19" t="inlineStr">
        <is>
          <t>F2-Fall/slip - ladder</t>
        </is>
      </c>
      <c r="AL19" t="inlineStr"/>
      <c r="AM19" t="inlineStr">
        <is>
          <t>Field Tech</t>
        </is>
      </c>
      <c r="AN19" t="inlineStr">
        <is>
          <t>Monday</t>
        </is>
      </c>
      <c r="AO19" t="inlineStr">
        <is>
          <t> </t>
        </is>
      </c>
      <c r="AW19" t="inlineStr">
        <is>
          <t>FOWLER, JENNA</t>
        </is>
      </c>
      <c r="AX19" t="inlineStr">
        <is>
          <t>WD6-M147769-00</t>
        </is>
      </c>
      <c r="AY19" t="n">
        <v>2025</v>
      </c>
      <c r="AZ19" t="n">
        <v>0</v>
      </c>
      <c r="BA19" t="inlineStr">
        <is>
          <t>83-0017319102</t>
        </is>
      </c>
      <c r="BB19" t="n">
        <v>0</v>
      </c>
      <c r="BC19" t="n">
        <v>0</v>
      </c>
    </row>
    <row r="20">
      <c r="A20" t="inlineStr">
        <is>
          <t>1521764304</t>
        </is>
      </c>
      <c r="B20" t="inlineStr">
        <is>
          <t>AMAROK LLC</t>
        </is>
      </c>
      <c r="C20" t="inlineStr">
        <is>
          <t>85-00937891</t>
        </is>
      </c>
      <c r="D20" t="inlineStr">
        <is>
          <t>01</t>
        </is>
      </c>
      <c r="E20" t="inlineStr">
        <is>
          <t>AMAROK LLC</t>
        </is>
      </c>
      <c r="G20" t="inlineStr">
        <is>
          <t>OR</t>
        </is>
      </c>
      <c r="H20" t="inlineStr">
        <is>
          <t>AH6</t>
        </is>
      </c>
      <c r="I20" t="inlineStr">
        <is>
          <t>M147006</t>
        </is>
      </c>
      <c r="J20" t="inlineStr">
        <is>
          <t>00</t>
        </is>
      </c>
      <c r="K20" t="inlineStr">
        <is>
          <t>10/01/2025</t>
        </is>
      </c>
      <c r="L20" t="inlineStr">
        <is>
          <t>10/01/2026</t>
        </is>
      </c>
      <c r="M20" t="inlineStr">
        <is>
          <t>03/18/2026</t>
        </is>
      </c>
      <c r="N20" t="inlineStr">
        <is>
          <t>03/24/2026</t>
        </is>
      </c>
      <c r="O20" t="n">
        <v>6</v>
      </c>
      <c r="P20" t="inlineStr">
        <is>
          <t>open</t>
        </is>
      </c>
      <c r="R20" t="inlineStr">
        <is>
          <t>Collision</t>
        </is>
      </c>
      <c r="S20" t="n">
        <v>0</v>
      </c>
      <c r="T20" t="n">
        <v>0</v>
      </c>
      <c r="U20" t="n">
        <v>0</v>
      </c>
      <c r="V20" t="n">
        <v>0</v>
      </c>
      <c r="W20" t="n">
        <v>0</v>
      </c>
      <c r="X20" t="n">
        <v>0</v>
      </c>
      <c r="Y20" t="n">
        <v>0</v>
      </c>
      <c r="Z20" t="n">
        <v>0</v>
      </c>
      <c r="AA20" t="n">
        <v>0</v>
      </c>
      <c r="AB20" t="n">
        <v>0</v>
      </c>
      <c r="AC20" t="n">
        <v>0</v>
      </c>
      <c r="AE20" t="inlineStr">
        <is>
          <t>Passing Sideswipe Accident</t>
        </is>
      </c>
      <c r="AF20" t="inlineStr">
        <is>
          <t>IV Sideswiped OV</t>
        </is>
      </c>
      <c r="AG20" t="inlineStr">
        <is>
          <t>OV Parked</t>
        </is>
      </c>
      <c r="AL20" t="inlineStr"/>
      <c r="AM20" t="inlineStr">
        <is>
          <t> </t>
        </is>
      </c>
      <c r="AN20" t="inlineStr">
        <is>
          <t>Wednesday</t>
        </is>
      </c>
      <c r="AO20" t="inlineStr">
        <is>
          <t>Zack Swindall</t>
        </is>
      </c>
      <c r="AP20" t="inlineStr">
        <is>
          <t>N</t>
        </is>
      </c>
      <c r="AQ20" t="n">
        <v>2025</v>
      </c>
      <c r="AR20" t="inlineStr">
        <is>
          <t>Chevrolet</t>
        </is>
      </c>
      <c r="AS20" t="inlineStr">
        <is>
          <t>Express</t>
        </is>
      </c>
      <c r="AT20" t="inlineStr">
        <is>
          <t>1GCWGBFPXS1265429</t>
        </is>
      </c>
      <c r="AW20" t="inlineStr">
        <is>
          <t>MANCINI, MICHAEL</t>
        </is>
      </c>
      <c r="AX20" t="inlineStr">
        <is>
          <t>AH6-M147006-00</t>
        </is>
      </c>
      <c r="AY20" t="n">
        <v>2025</v>
      </c>
      <c r="AZ20" t="n">
        <v>0</v>
      </c>
      <c r="BA20" t="inlineStr">
        <is>
          <t>85-0093789101</t>
        </is>
      </c>
      <c r="BB20" t="n">
        <v>0</v>
      </c>
      <c r="BC20" t="n">
        <v>1</v>
      </c>
    </row>
    <row r="21">
      <c r="A21" t="inlineStr">
        <is>
          <t>1521764304</t>
        </is>
      </c>
      <c r="B21" t="inlineStr">
        <is>
          <t>AMAROK LLC</t>
        </is>
      </c>
      <c r="C21" t="inlineStr">
        <is>
          <t>85-00920876</t>
        </is>
      </c>
      <c r="D21" t="inlineStr">
        <is>
          <t>01</t>
        </is>
      </c>
      <c r="E21" t="inlineStr">
        <is>
          <t>Killis, James</t>
        </is>
      </c>
      <c r="F21" t="inlineStr">
        <is>
          <t>550 Assembly St, Columbia, SC</t>
        </is>
      </c>
      <c r="G21" t="inlineStr">
        <is>
          <t>IL</t>
        </is>
      </c>
      <c r="H21" t="inlineStr">
        <is>
          <t>LH6</t>
        </is>
      </c>
      <c r="I21" t="inlineStr">
        <is>
          <t>M167160</t>
        </is>
      </c>
      <c r="J21" t="inlineStr">
        <is>
          <t>00</t>
        </is>
      </c>
      <c r="K21" t="inlineStr">
        <is>
          <t>10/01/2025</t>
        </is>
      </c>
      <c r="L21" t="inlineStr">
        <is>
          <t>10/01/2026</t>
        </is>
      </c>
      <c r="M21" t="inlineStr">
        <is>
          <t>12/16/2025</t>
        </is>
      </c>
      <c r="N21" t="inlineStr">
        <is>
          <t>02/23/2026</t>
        </is>
      </c>
      <c r="O21" t="n">
        <v>69</v>
      </c>
      <c r="P21" t="inlineStr">
        <is>
          <t>open</t>
        </is>
      </c>
      <c r="R21" t="inlineStr">
        <is>
          <t>Premises/Operations-Advertising Personal Injury Bodily Injury</t>
        </is>
      </c>
      <c r="S21" t="n">
        <v>99</v>
      </c>
      <c r="T21" t="n">
        <v>0</v>
      </c>
      <c r="U21" t="n">
        <v>99</v>
      </c>
      <c r="V21" t="n">
        <v>0</v>
      </c>
      <c r="W21" t="n">
        <v>0</v>
      </c>
      <c r="X21" t="n">
        <v>99</v>
      </c>
      <c r="Y21" t="n">
        <v>0</v>
      </c>
      <c r="Z21" t="n">
        <v>0</v>
      </c>
      <c r="AA21" t="n">
        <v>0</v>
      </c>
      <c r="AB21" t="n">
        <v>0</v>
      </c>
      <c r="AC21" t="n">
        <v>0</v>
      </c>
      <c r="AE21" t="inlineStr">
        <is>
          <t>Professional Liability</t>
        </is>
      </c>
      <c r="AF21" t="inlineStr">
        <is>
          <t>Electrocution</t>
        </is>
      </c>
      <c r="AG21" t="inlineStr">
        <is>
          <t>Attorney Letter</t>
        </is>
      </c>
      <c r="AL21" t="inlineStr"/>
      <c r="AM21" t="inlineStr">
        <is>
          <t> </t>
        </is>
      </c>
      <c r="AN21" t="inlineStr">
        <is>
          <t>Tuesday</t>
        </is>
      </c>
      <c r="AO21" t="inlineStr">
        <is>
          <t> </t>
        </is>
      </c>
      <c r="AW21" t="inlineStr">
        <is>
          <t>RALPHS, BRIAN</t>
        </is>
      </c>
      <c r="AX21" t="inlineStr">
        <is>
          <t>LH6-M167160-00</t>
        </is>
      </c>
      <c r="AY21" t="n">
        <v>2025</v>
      </c>
      <c r="AZ21" t="n">
        <v>0</v>
      </c>
      <c r="BA21" t="inlineStr">
        <is>
          <t>85-0092087601</t>
        </is>
      </c>
      <c r="BB21" t="n">
        <v>99</v>
      </c>
      <c r="BC21" t="n">
        <v>1</v>
      </c>
    </row>
    <row r="22">
      <c r="A22" t="inlineStr">
        <is>
          <t>1521764304</t>
        </is>
      </c>
      <c r="B22" t="inlineStr">
        <is>
          <t>AMAROK LLC</t>
        </is>
      </c>
      <c r="C22" t="inlineStr">
        <is>
          <t>83-00166663</t>
        </is>
      </c>
      <c r="D22" t="inlineStr">
        <is>
          <t>02</t>
        </is>
      </c>
      <c r="E22" t="inlineStr">
        <is>
          <t>Fleming, Patrick</t>
        </is>
      </c>
      <c r="F22" t="inlineStr">
        <is>
          <t>California</t>
        </is>
      </c>
      <c r="G22" t="inlineStr">
        <is>
          <t>CA</t>
        </is>
      </c>
      <c r="H22" t="inlineStr">
        <is>
          <t>WD6</t>
        </is>
      </c>
      <c r="I22" t="inlineStr">
        <is>
          <t>M147769</t>
        </is>
      </c>
      <c r="J22" t="inlineStr">
        <is>
          <t>00</t>
        </is>
      </c>
      <c r="K22" t="inlineStr">
        <is>
          <t>10/01/2025</t>
        </is>
      </c>
      <c r="L22" t="inlineStr">
        <is>
          <t>10/01/2026</t>
        </is>
      </c>
      <c r="M22" t="inlineStr">
        <is>
          <t>10/17/2025</t>
        </is>
      </c>
      <c r="N22" t="inlineStr">
        <is>
          <t>10/20/2025</t>
        </is>
      </c>
      <c r="O22" t="n">
        <v>3</v>
      </c>
      <c r="P22" t="inlineStr">
        <is>
          <t>closed</t>
        </is>
      </c>
      <c r="Q22" t="inlineStr">
        <is>
          <t>01/21/2026</t>
        </is>
      </c>
      <c r="R22" t="inlineStr">
        <is>
          <t>WC Coverage -Med Only</t>
        </is>
      </c>
      <c r="S22" t="n">
        <v>0</v>
      </c>
      <c r="T22" t="n">
        <v>3101.61</v>
      </c>
      <c r="U22" t="n">
        <v>3101.61</v>
      </c>
      <c r="V22" t="n">
        <v>0</v>
      </c>
      <c r="W22" t="n">
        <v>584.02</v>
      </c>
      <c r="X22" t="n">
        <v>3685.63</v>
      </c>
      <c r="Y22" t="n">
        <v>0</v>
      </c>
      <c r="Z22" t="n">
        <v>0</v>
      </c>
      <c r="AA22" t="n">
        <v>0</v>
      </c>
      <c r="AB22" t="n">
        <v>0</v>
      </c>
      <c r="AC22" t="n">
        <v>-30</v>
      </c>
      <c r="AE22" t="inlineStr">
        <is>
          <t>H6-Lower Leg</t>
        </is>
      </c>
      <c r="AF22" t="inlineStr">
        <is>
          <t>D4-Strain</t>
        </is>
      </c>
      <c r="AG22" t="inlineStr">
        <is>
          <t>F2-Fall/slip - ladder</t>
        </is>
      </c>
      <c r="AL22" t="inlineStr"/>
      <c r="AM22" t="inlineStr">
        <is>
          <t>field technician</t>
        </is>
      </c>
      <c r="AN22" t="inlineStr">
        <is>
          <t>Friday</t>
        </is>
      </c>
      <c r="AO22" t="inlineStr">
        <is>
          <t> </t>
        </is>
      </c>
      <c r="AW22" t="inlineStr">
        <is>
          <t>HUFFMAN, JANICE</t>
        </is>
      </c>
      <c r="AX22" t="inlineStr">
        <is>
          <t>WD6-M147769-00</t>
        </is>
      </c>
      <c r="AY22" t="n">
        <v>2025</v>
      </c>
      <c r="AZ22" t="n">
        <v>0</v>
      </c>
      <c r="BA22" t="inlineStr">
        <is>
          <t>83-0016666302</t>
        </is>
      </c>
      <c r="BB22" t="n">
        <v>3101.61</v>
      </c>
      <c r="BC22" t="n">
        <v>1</v>
      </c>
    </row>
    <row r="23">
      <c r="A23" t="inlineStr">
        <is>
          <t>1521764304</t>
        </is>
      </c>
      <c r="B23" t="inlineStr">
        <is>
          <t>AMAROK LLC</t>
        </is>
      </c>
      <c r="C23" t="inlineStr">
        <is>
          <t>83-00167708</t>
        </is>
      </c>
      <c r="D23" t="inlineStr">
        <is>
          <t>02</t>
        </is>
      </c>
      <c r="E23" t="inlineStr">
        <is>
          <t>Reed, Lonnie</t>
        </is>
      </c>
      <c r="F23" t="inlineStr">
        <is>
          <t>550 Assembly St, Columbia, SC</t>
        </is>
      </c>
      <c r="G23" t="inlineStr">
        <is>
          <t>SC</t>
        </is>
      </c>
      <c r="H23" t="inlineStr">
        <is>
          <t>WD6</t>
        </is>
      </c>
      <c r="I23" t="inlineStr">
        <is>
          <t>M147769</t>
        </is>
      </c>
      <c r="J23" t="inlineStr">
        <is>
          <t>00</t>
        </is>
      </c>
      <c r="K23" t="inlineStr">
        <is>
          <t>10/01/2025</t>
        </is>
      </c>
      <c r="L23" t="inlineStr">
        <is>
          <t>10/01/2026</t>
        </is>
      </c>
      <c r="M23" t="inlineStr">
        <is>
          <t>11/04/2025</t>
        </is>
      </c>
      <c r="N23" t="inlineStr">
        <is>
          <t>11/06/2025</t>
        </is>
      </c>
      <c r="O23" t="n">
        <v>2</v>
      </c>
      <c r="P23" t="inlineStr">
        <is>
          <t>closed</t>
        </is>
      </c>
      <c r="Q23" t="inlineStr">
        <is>
          <t>11/21/2025</t>
        </is>
      </c>
      <c r="R23" t="inlineStr">
        <is>
          <t>WC Coverage -Med Only</t>
        </is>
      </c>
      <c r="S23" t="n">
        <v>0</v>
      </c>
      <c r="T23" t="n">
        <v>1163.79</v>
      </c>
      <c r="U23" t="n">
        <v>1163.79</v>
      </c>
      <c r="V23" t="n">
        <v>0</v>
      </c>
      <c r="W23" t="n">
        <v>40.15</v>
      </c>
      <c r="X23" t="n">
        <v>1203.94</v>
      </c>
      <c r="Y23" t="n">
        <v>0</v>
      </c>
      <c r="Z23" t="n">
        <v>0</v>
      </c>
      <c r="AA23" t="n">
        <v>0</v>
      </c>
      <c r="AB23" t="n">
        <v>0</v>
      </c>
      <c r="AC23" t="n">
        <v>0</v>
      </c>
      <c r="AE23" t="inlineStr">
        <is>
          <t>MP-Multiple Body Parts</t>
        </is>
      </c>
      <c r="AF23" t="inlineStr">
        <is>
          <t>D4-Strain</t>
        </is>
      </c>
      <c r="AG23" t="inlineStr">
        <is>
          <t>J1-Collision with another vehicle</t>
        </is>
      </c>
      <c r="AL23" t="inlineStr"/>
      <c r="AM23" t="inlineStr">
        <is>
          <t>Unknown</t>
        </is>
      </c>
      <c r="AN23" t="inlineStr">
        <is>
          <t>Tuesday</t>
        </is>
      </c>
      <c r="AO23" t="inlineStr">
        <is>
          <t> </t>
        </is>
      </c>
      <c r="AW23" t="inlineStr">
        <is>
          <t>FOUNTAIN, BRANDON</t>
        </is>
      </c>
      <c r="AX23" t="inlineStr">
        <is>
          <t>WD6-M147769-00</t>
        </is>
      </c>
      <c r="AY23" t="n">
        <v>2025</v>
      </c>
      <c r="AZ23" t="n">
        <v>0</v>
      </c>
      <c r="BA23" t="inlineStr">
        <is>
          <t>83-0016770802</t>
        </is>
      </c>
      <c r="BB23" t="n">
        <v>1163.79</v>
      </c>
      <c r="BC23" t="n">
        <v>0</v>
      </c>
    </row>
    <row r="24">
      <c r="A24" t="inlineStr">
        <is>
          <t>1521764304</t>
        </is>
      </c>
      <c r="B24" t="inlineStr">
        <is>
          <t>AMAROK LLC</t>
        </is>
      </c>
      <c r="C24" t="inlineStr">
        <is>
          <t>83-00167711</t>
        </is>
      </c>
      <c r="D24" t="inlineStr">
        <is>
          <t>01</t>
        </is>
      </c>
      <c r="E24" t="inlineStr">
        <is>
          <t>Lopez, Cesar</t>
        </is>
      </c>
      <c r="F24" t="inlineStr">
        <is>
          <t>550 Assembly St, Columbia, SC</t>
        </is>
      </c>
      <c r="G24" t="inlineStr">
        <is>
          <t>SC</t>
        </is>
      </c>
      <c r="H24" t="inlineStr">
        <is>
          <t>WD6</t>
        </is>
      </c>
      <c r="I24" t="inlineStr">
        <is>
          <t>M147769</t>
        </is>
      </c>
      <c r="J24" t="inlineStr">
        <is>
          <t>00</t>
        </is>
      </c>
      <c r="K24" t="inlineStr">
        <is>
          <t>10/01/2025</t>
        </is>
      </c>
      <c r="L24" t="inlineStr">
        <is>
          <t>10/01/2026</t>
        </is>
      </c>
      <c r="M24" t="inlineStr">
        <is>
          <t>11/04/2025</t>
        </is>
      </c>
      <c r="N24" t="inlineStr">
        <is>
          <t>11/06/2025</t>
        </is>
      </c>
      <c r="O24" t="n">
        <v>2</v>
      </c>
      <c r="P24" t="inlineStr">
        <is>
          <t>closed</t>
        </is>
      </c>
      <c r="Q24" t="inlineStr">
        <is>
          <t>11/21/2025</t>
        </is>
      </c>
      <c r="R24" t="inlineStr">
        <is>
          <t>WC Coverage - Other than Med</t>
        </is>
      </c>
      <c r="S24" t="n">
        <v>0</v>
      </c>
      <c r="T24" t="n">
        <v>0</v>
      </c>
      <c r="U24" t="n">
        <v>0</v>
      </c>
      <c r="V24" t="n">
        <v>0</v>
      </c>
      <c r="W24" t="n">
        <v>0</v>
      </c>
      <c r="X24" t="n">
        <v>0</v>
      </c>
      <c r="Y24" t="n">
        <v>0</v>
      </c>
      <c r="Z24" t="n">
        <v>0</v>
      </c>
      <c r="AA24" t="n">
        <v>0</v>
      </c>
      <c r="AB24" t="n">
        <v>0</v>
      </c>
      <c r="AC24" t="n">
        <v>0</v>
      </c>
      <c r="AE24" t="inlineStr">
        <is>
          <t>MP-Multiple Body Parts</t>
        </is>
      </c>
      <c r="AF24" t="inlineStr">
        <is>
          <t>D4-Strain</t>
        </is>
      </c>
      <c r="AG24" t="inlineStr">
        <is>
          <t>J1-Collision with another vehicle</t>
        </is>
      </c>
      <c r="AL24" t="inlineStr"/>
      <c r="AM24" t="inlineStr">
        <is>
          <t>Unknown</t>
        </is>
      </c>
      <c r="AN24" t="inlineStr">
        <is>
          <t>Tuesday</t>
        </is>
      </c>
      <c r="AO24" t="inlineStr">
        <is>
          <t> </t>
        </is>
      </c>
      <c r="AW24" t="inlineStr">
        <is>
          <t>FOUNTAIN, BRANDON</t>
        </is>
      </c>
      <c r="AX24" t="inlineStr">
        <is>
          <t>WD6-M147769-00</t>
        </is>
      </c>
      <c r="AY24" t="n">
        <v>2025</v>
      </c>
      <c r="AZ24" t="n">
        <v>0</v>
      </c>
      <c r="BA24" t="inlineStr">
        <is>
          <t>83-0016771101</t>
        </is>
      </c>
      <c r="BB24" t="n">
        <v>0</v>
      </c>
      <c r="BC24" t="n">
        <v>1</v>
      </c>
    </row>
    <row r="25">
      <c r="A25" t="inlineStr">
        <is>
          <t>1521764304</t>
        </is>
      </c>
      <c r="B25" t="inlineStr">
        <is>
          <t>AMAROK LLC</t>
        </is>
      </c>
      <c r="C25" t="inlineStr">
        <is>
          <t>78-00429417</t>
        </is>
      </c>
      <c r="D25" t="inlineStr">
        <is>
          <t>01</t>
        </is>
      </c>
      <c r="E25" t="inlineStr">
        <is>
          <t>AMAROK LLC</t>
        </is>
      </c>
      <c r="G25" t="inlineStr">
        <is>
          <t>SC</t>
        </is>
      </c>
      <c r="H25" t="inlineStr">
        <is>
          <t>AH6</t>
        </is>
      </c>
      <c r="I25" t="inlineStr">
        <is>
          <t>M147006</t>
        </is>
      </c>
      <c r="J25" t="inlineStr">
        <is>
          <t>00</t>
        </is>
      </c>
      <c r="K25" t="inlineStr">
        <is>
          <t>10/01/2025</t>
        </is>
      </c>
      <c r="L25" t="inlineStr">
        <is>
          <t>10/01/2026</t>
        </is>
      </c>
      <c r="M25" t="inlineStr">
        <is>
          <t>03/05/2026</t>
        </is>
      </c>
      <c r="N25" t="inlineStr">
        <is>
          <t>03/25/2026</t>
        </is>
      </c>
      <c r="O25" t="n">
        <v>20</v>
      </c>
      <c r="P25" t="inlineStr">
        <is>
          <t>closed</t>
        </is>
      </c>
      <c r="Q25" t="inlineStr">
        <is>
          <t>03/31/2026</t>
        </is>
      </c>
      <c r="R25" t="inlineStr">
        <is>
          <t>Comprehensive</t>
        </is>
      </c>
      <c r="S25" t="n">
        <v>0</v>
      </c>
      <c r="T25" t="n">
        <v>573.97</v>
      </c>
      <c r="U25" t="n">
        <v>573.97</v>
      </c>
      <c r="V25" t="n">
        <v>0</v>
      </c>
      <c r="W25" t="n">
        <v>0</v>
      </c>
      <c r="X25" t="n">
        <v>573.97</v>
      </c>
      <c r="Y25" t="n">
        <v>0</v>
      </c>
      <c r="Z25" t="n">
        <v>0</v>
      </c>
      <c r="AA25" t="n">
        <v>0</v>
      </c>
      <c r="AB25" t="n">
        <v>0</v>
      </c>
      <c r="AC25" t="n">
        <v>0</v>
      </c>
      <c r="AE25" t="inlineStr">
        <is>
          <t>Comprehensive Auto</t>
        </is>
      </c>
      <c r="AF25" t="inlineStr">
        <is>
          <t>Glass Breakage</t>
        </is>
      </c>
      <c r="AG25" t="inlineStr">
        <is>
          <t>Unspecified</t>
        </is>
      </c>
      <c r="AL25" t="inlineStr"/>
      <c r="AM25" t="inlineStr">
        <is>
          <t> </t>
        </is>
      </c>
      <c r="AN25" t="inlineStr">
        <is>
          <t>Thursday</t>
        </is>
      </c>
      <c r="AO25" t="inlineStr">
        <is>
          <t> </t>
        </is>
      </c>
      <c r="AP25" t="inlineStr">
        <is>
          <t>N</t>
        </is>
      </c>
      <c r="AQ25" t="n">
        <v>2024</v>
      </c>
      <c r="AR25" t="inlineStr">
        <is>
          <t>CHEVROLET</t>
        </is>
      </c>
      <c r="AS25" t="inlineStr">
        <is>
          <t>EXPRESS</t>
        </is>
      </c>
      <c r="AT25" t="inlineStr">
        <is>
          <t>1GCWGBFP6R1269262</t>
        </is>
      </c>
      <c r="AU25" t="inlineStr">
        <is>
          <t>CZYM20</t>
        </is>
      </c>
      <c r="AV25" t="inlineStr">
        <is>
          <t>SC</t>
        </is>
      </c>
      <c r="AW25" t="inlineStr">
        <is>
          <t>TEAM, GLASS/TOW</t>
        </is>
      </c>
      <c r="AX25" t="inlineStr">
        <is>
          <t>AH6-M147006-00</t>
        </is>
      </c>
      <c r="AY25" t="n">
        <v>2025</v>
      </c>
      <c r="AZ25" t="n">
        <v>0</v>
      </c>
      <c r="BA25" t="inlineStr">
        <is>
          <t>78-0042941701</t>
        </is>
      </c>
      <c r="BB25" t="n">
        <v>573.97</v>
      </c>
      <c r="BC25" t="n">
        <v>1</v>
      </c>
    </row>
    <row r="26">
      <c r="A26" t="inlineStr">
        <is>
          <t>1521764304</t>
        </is>
      </c>
      <c r="B26" t="inlineStr">
        <is>
          <t>AMAROK LLC</t>
        </is>
      </c>
      <c r="C26" t="inlineStr">
        <is>
          <t>85-00937891</t>
        </is>
      </c>
      <c r="D26" t="inlineStr">
        <is>
          <t>02</t>
        </is>
      </c>
      <c r="E26" t="inlineStr">
        <is>
          <t>Merck Sharp and Dohme</t>
        </is>
      </c>
      <c r="G26" t="inlineStr">
        <is>
          <t>OR</t>
        </is>
      </c>
      <c r="H26" t="inlineStr">
        <is>
          <t>AH6</t>
        </is>
      </c>
      <c r="I26" t="inlineStr">
        <is>
          <t>M147006</t>
        </is>
      </c>
      <c r="J26" t="inlineStr">
        <is>
          <t>00</t>
        </is>
      </c>
      <c r="K26" t="inlineStr">
        <is>
          <t>10/01/2025</t>
        </is>
      </c>
      <c r="L26" t="inlineStr">
        <is>
          <t>10/01/2026</t>
        </is>
      </c>
      <c r="M26" t="inlineStr">
        <is>
          <t>03/18/2026</t>
        </is>
      </c>
      <c r="N26" t="inlineStr">
        <is>
          <t>03/24/2026</t>
        </is>
      </c>
      <c r="O26" t="n">
        <v>6</v>
      </c>
      <c r="P26" t="inlineStr">
        <is>
          <t>open</t>
        </is>
      </c>
      <c r="R26" t="inlineStr">
        <is>
          <t>Liability - VehicleDamage</t>
        </is>
      </c>
      <c r="S26" t="n">
        <v>0</v>
      </c>
      <c r="T26" t="n">
        <v>2042.86</v>
      </c>
      <c r="U26" t="n">
        <v>2042.86</v>
      </c>
      <c r="V26" t="n">
        <v>0</v>
      </c>
      <c r="W26" t="n">
        <v>0</v>
      </c>
      <c r="X26" t="n">
        <v>2042.86</v>
      </c>
      <c r="Y26" t="n">
        <v>0</v>
      </c>
      <c r="Z26" t="n">
        <v>0</v>
      </c>
      <c r="AA26" t="n">
        <v>0</v>
      </c>
      <c r="AB26" t="n">
        <v>0</v>
      </c>
      <c r="AC26" t="n">
        <v>0</v>
      </c>
      <c r="AE26" t="inlineStr">
        <is>
          <t>Passing Sideswipe Accident</t>
        </is>
      </c>
      <c r="AF26" t="inlineStr">
        <is>
          <t>IV Sideswiped OV</t>
        </is>
      </c>
      <c r="AG26" t="inlineStr">
        <is>
          <t>OV Parked</t>
        </is>
      </c>
      <c r="AL26" t="inlineStr"/>
      <c r="AM26" t="inlineStr">
        <is>
          <t> </t>
        </is>
      </c>
      <c r="AN26" t="inlineStr">
        <is>
          <t>Wednesday</t>
        </is>
      </c>
      <c r="AO26" t="inlineStr">
        <is>
          <t>Zack Swindall</t>
        </is>
      </c>
      <c r="AW26" t="inlineStr">
        <is>
          <t>MANCINI, MICHAEL</t>
        </is>
      </c>
      <c r="AX26" t="inlineStr">
        <is>
          <t>AH6-M147006-00</t>
        </is>
      </c>
      <c r="AY26" t="n">
        <v>2025</v>
      </c>
      <c r="AZ26" t="n">
        <v>0</v>
      </c>
      <c r="BA26" t="inlineStr">
        <is>
          <t>85-0093789102</t>
        </is>
      </c>
      <c r="BB26" t="n">
        <v>2042.86</v>
      </c>
      <c r="BC26" t="n">
        <v>0</v>
      </c>
    </row>
    <row r="27">
      <c r="A27" t="inlineStr">
        <is>
          <t>1521764304</t>
        </is>
      </c>
      <c r="B27" t="inlineStr">
        <is>
          <t>AMAROK LLC</t>
        </is>
      </c>
      <c r="C27" t="inlineStr">
        <is>
          <t>85-00918044</t>
        </is>
      </c>
      <c r="D27" t="inlineStr">
        <is>
          <t>01</t>
        </is>
      </c>
      <c r="E27" t="inlineStr">
        <is>
          <t>Collier, Rowmeeka</t>
        </is>
      </c>
      <c r="F27" t="inlineStr">
        <is>
          <t>550 Assembly St, Columbia, SC</t>
        </is>
      </c>
      <c r="G27" t="inlineStr">
        <is>
          <t>CA</t>
        </is>
      </c>
      <c r="H27" t="inlineStr">
        <is>
          <t>LH6</t>
        </is>
      </c>
      <c r="I27" t="inlineStr">
        <is>
          <t>M167160</t>
        </is>
      </c>
      <c r="J27" t="inlineStr">
        <is>
          <t>00</t>
        </is>
      </c>
      <c r="K27" t="inlineStr">
        <is>
          <t>10/01/2025</t>
        </is>
      </c>
      <c r="L27" t="inlineStr">
        <is>
          <t>10/01/2026</t>
        </is>
      </c>
      <c r="M27" t="inlineStr">
        <is>
          <t>01/30/2026</t>
        </is>
      </c>
      <c r="N27" t="inlineStr">
        <is>
          <t>02/18/2026</t>
        </is>
      </c>
      <c r="O27" t="n">
        <v>19</v>
      </c>
      <c r="P27" t="inlineStr">
        <is>
          <t>open</t>
        </is>
      </c>
      <c r="R27" t="inlineStr">
        <is>
          <t>Premises/Operations-Advertising Personal Injury Bodily Injury</t>
        </is>
      </c>
      <c r="S27" t="n">
        <v>25000</v>
      </c>
      <c r="T27" t="n">
        <v>0</v>
      </c>
      <c r="U27" t="n">
        <v>25000</v>
      </c>
      <c r="V27" t="n">
        <v>5000</v>
      </c>
      <c r="W27" t="n">
        <v>0</v>
      </c>
      <c r="X27" t="n">
        <v>30000</v>
      </c>
      <c r="Y27" t="n">
        <v>0</v>
      </c>
      <c r="Z27" t="n">
        <v>0</v>
      </c>
      <c r="AA27" t="n">
        <v>0</v>
      </c>
      <c r="AB27" t="n">
        <v>0</v>
      </c>
      <c r="AC27" t="n">
        <v>0</v>
      </c>
      <c r="AE27" t="inlineStr">
        <is>
          <t>Professional Liability</t>
        </is>
      </c>
      <c r="AF27" t="inlineStr">
        <is>
          <t>Electrocution</t>
        </is>
      </c>
      <c r="AG27" t="inlineStr">
        <is>
          <t>Attorney Letter</t>
        </is>
      </c>
      <c r="AL27" t="inlineStr"/>
      <c r="AM27" t="inlineStr">
        <is>
          <t> </t>
        </is>
      </c>
      <c r="AN27" t="inlineStr">
        <is>
          <t>Friday</t>
        </is>
      </c>
      <c r="AO27" t="inlineStr">
        <is>
          <t> </t>
        </is>
      </c>
      <c r="AW27" t="inlineStr">
        <is>
          <t>RALPHS, BRIAN</t>
        </is>
      </c>
      <c r="AX27" t="inlineStr">
        <is>
          <t>LH6-M167160-00</t>
        </is>
      </c>
      <c r="AY27" t="n">
        <v>2025</v>
      </c>
      <c r="AZ27" t="n">
        <v>0</v>
      </c>
      <c r="BA27" t="inlineStr">
        <is>
          <t>85-0091804401</t>
        </is>
      </c>
      <c r="BB27" t="n">
        <v>25000</v>
      </c>
      <c r="BC27" t="n">
        <v>1</v>
      </c>
    </row>
    <row r="28">
      <c r="A28" t="inlineStr">
        <is>
          <t>1521764304</t>
        </is>
      </c>
      <c r="B28" t="inlineStr">
        <is>
          <t>AMAROK LLC</t>
        </is>
      </c>
      <c r="C28" t="inlineStr">
        <is>
          <t>83-00166663</t>
        </is>
      </c>
      <c r="D28" t="inlineStr">
        <is>
          <t>01</t>
        </is>
      </c>
      <c r="E28" t="inlineStr">
        <is>
          <t>Fleming, Patrick</t>
        </is>
      </c>
      <c r="F28" t="inlineStr">
        <is>
          <t>California</t>
        </is>
      </c>
      <c r="G28" t="inlineStr">
        <is>
          <t>CA</t>
        </is>
      </c>
      <c r="H28" t="inlineStr">
        <is>
          <t>WD6</t>
        </is>
      </c>
      <c r="I28" t="inlineStr">
        <is>
          <t>M147769</t>
        </is>
      </c>
      <c r="J28" t="inlineStr">
        <is>
          <t>00</t>
        </is>
      </c>
      <c r="K28" t="inlineStr">
        <is>
          <t>10/01/2025</t>
        </is>
      </c>
      <c r="L28" t="inlineStr">
        <is>
          <t>10/01/2026</t>
        </is>
      </c>
      <c r="M28" t="inlineStr">
        <is>
          <t>10/17/2025</t>
        </is>
      </c>
      <c r="N28" t="inlineStr">
        <is>
          <t>10/20/2025</t>
        </is>
      </c>
      <c r="O28" t="n">
        <v>3</v>
      </c>
      <c r="P28" t="inlineStr">
        <is>
          <t>closed</t>
        </is>
      </c>
      <c r="Q28" t="inlineStr">
        <is>
          <t>01/21/2026</t>
        </is>
      </c>
      <c r="R28" t="inlineStr">
        <is>
          <t>WC Coverage - Other than Med</t>
        </is>
      </c>
      <c r="S28" t="n">
        <v>0</v>
      </c>
      <c r="T28" t="n">
        <v>3263.94</v>
      </c>
      <c r="U28" t="n">
        <v>3263.94</v>
      </c>
      <c r="V28" t="n">
        <v>0</v>
      </c>
      <c r="W28" t="n">
        <v>450</v>
      </c>
      <c r="X28" t="n">
        <v>3713.94</v>
      </c>
      <c r="Y28" t="n">
        <v>0</v>
      </c>
      <c r="Z28" t="n">
        <v>0</v>
      </c>
      <c r="AA28" t="n">
        <v>0</v>
      </c>
      <c r="AB28" t="n">
        <v>0</v>
      </c>
      <c r="AC28" t="n">
        <v>0</v>
      </c>
      <c r="AE28" t="inlineStr">
        <is>
          <t>H6-Lower Leg</t>
        </is>
      </c>
      <c r="AF28" t="inlineStr">
        <is>
          <t>D4-Strain</t>
        </is>
      </c>
      <c r="AG28" t="inlineStr">
        <is>
          <t>F2-Fall/slip - ladder</t>
        </is>
      </c>
      <c r="AL28" t="inlineStr"/>
      <c r="AM28" t="inlineStr">
        <is>
          <t>field technician</t>
        </is>
      </c>
      <c r="AN28" t="inlineStr">
        <is>
          <t>Friday</t>
        </is>
      </c>
      <c r="AO28" t="inlineStr">
        <is>
          <t> </t>
        </is>
      </c>
      <c r="AW28" t="inlineStr">
        <is>
          <t>HUFFMAN, JANICE</t>
        </is>
      </c>
      <c r="AX28" t="inlineStr">
        <is>
          <t>WD6-M147769-00</t>
        </is>
      </c>
      <c r="AY28" t="n">
        <v>2025</v>
      </c>
      <c r="AZ28" t="n">
        <v>0</v>
      </c>
      <c r="BA28" t="inlineStr">
        <is>
          <t>83-0016666301</t>
        </is>
      </c>
      <c r="BB28" t="n">
        <v>3263.94</v>
      </c>
      <c r="BC28" t="n">
        <v>0</v>
      </c>
    </row>
    <row r="29">
      <c r="A29" t="inlineStr">
        <is>
          <t>1521764304</t>
        </is>
      </c>
      <c r="B29" t="inlineStr">
        <is>
          <t>AMAROK LLC</t>
        </is>
      </c>
      <c r="C29" t="inlineStr">
        <is>
          <t>85-00885574</t>
        </is>
      </c>
      <c r="D29" t="inlineStr">
        <is>
          <t>01</t>
        </is>
      </c>
      <c r="E29" t="inlineStr">
        <is>
          <t>AMAROK LLC</t>
        </is>
      </c>
      <c r="G29" t="inlineStr">
        <is>
          <t>CA</t>
        </is>
      </c>
      <c r="H29" t="inlineStr">
        <is>
          <t>AH6</t>
        </is>
      </c>
      <c r="I29" t="inlineStr">
        <is>
          <t>M147006</t>
        </is>
      </c>
      <c r="J29" t="inlineStr">
        <is>
          <t>00</t>
        </is>
      </c>
      <c r="K29" t="inlineStr">
        <is>
          <t>10/01/2025</t>
        </is>
      </c>
      <c r="L29" t="inlineStr">
        <is>
          <t>10/01/2026</t>
        </is>
      </c>
      <c r="M29" t="inlineStr">
        <is>
          <t>10/14/2025</t>
        </is>
      </c>
      <c r="N29" t="inlineStr">
        <is>
          <t>12/10/2025</t>
        </is>
      </c>
      <c r="O29" t="n">
        <v>57</v>
      </c>
      <c r="P29" t="inlineStr">
        <is>
          <t>closed</t>
        </is>
      </c>
      <c r="Q29" t="inlineStr">
        <is>
          <t>12/30/2025</t>
        </is>
      </c>
      <c r="R29" t="inlineStr">
        <is>
          <t>Collision</t>
        </is>
      </c>
      <c r="S29" t="n">
        <v>0</v>
      </c>
      <c r="T29" t="n">
        <v>4181.73</v>
      </c>
      <c r="U29" t="n">
        <v>4181.73</v>
      </c>
      <c r="V29" t="n">
        <v>0</v>
      </c>
      <c r="W29" t="n">
        <v>0</v>
      </c>
      <c r="X29" t="n">
        <v>4181.73</v>
      </c>
      <c r="Y29" t="n">
        <v>0</v>
      </c>
      <c r="Z29" t="n">
        <v>0</v>
      </c>
      <c r="AA29" t="n">
        <v>0</v>
      </c>
      <c r="AB29" t="n">
        <v>0</v>
      </c>
      <c r="AC29" t="n">
        <v>0</v>
      </c>
      <c r="AE29" t="inlineStr">
        <is>
          <t>Backing Accident</t>
        </is>
      </c>
      <c r="AF29" t="inlineStr">
        <is>
          <t>IV Struck Other Object</t>
        </is>
      </c>
      <c r="AG29" t="inlineStr">
        <is>
          <t>Safety Bollard</t>
        </is>
      </c>
      <c r="AL29" t="inlineStr"/>
      <c r="AM29" t="inlineStr">
        <is>
          <t> </t>
        </is>
      </c>
      <c r="AN29" t="inlineStr">
        <is>
          <t>Tuesday</t>
        </is>
      </c>
      <c r="AO29" t="inlineStr">
        <is>
          <t>Edgar Estrella</t>
        </is>
      </c>
      <c r="AP29" t="inlineStr">
        <is>
          <t>N</t>
        </is>
      </c>
      <c r="AQ29" t="n">
        <v>2023</v>
      </c>
      <c r="AR29" t="inlineStr">
        <is>
          <t>GMC</t>
        </is>
      </c>
      <c r="AS29" t="inlineStr">
        <is>
          <t>Savana</t>
        </is>
      </c>
      <c r="AT29" t="inlineStr">
        <is>
          <t>1GTW7BFPXP1188648</t>
        </is>
      </c>
      <c r="AV29" t="inlineStr">
        <is>
          <t>CA</t>
        </is>
      </c>
      <c r="AW29" t="inlineStr">
        <is>
          <t>WALKER, TYSON</t>
        </is>
      </c>
      <c r="AX29" t="inlineStr">
        <is>
          <t>AH6-M147006-00</t>
        </is>
      </c>
      <c r="AY29" t="n">
        <v>2025</v>
      </c>
      <c r="AZ29" t="n">
        <v>0</v>
      </c>
      <c r="BA29" t="inlineStr">
        <is>
          <t>85-0088557401</t>
        </is>
      </c>
      <c r="BB29" t="n">
        <v>4181.73</v>
      </c>
      <c r="BC29" t="n">
        <v>1</v>
      </c>
    </row>
    <row r="30">
      <c r="A30" t="inlineStr">
        <is>
          <t>1521764304</t>
        </is>
      </c>
      <c r="B30" t="inlineStr">
        <is>
          <t>AMAROK LLC</t>
        </is>
      </c>
      <c r="C30" t="inlineStr">
        <is>
          <t>83-00167711</t>
        </is>
      </c>
      <c r="D30" t="inlineStr">
        <is>
          <t>02</t>
        </is>
      </c>
      <c r="E30" t="inlineStr">
        <is>
          <t>Lopez, Cesar</t>
        </is>
      </c>
      <c r="F30" t="inlineStr">
        <is>
          <t>550 Assembly St, Columbia, SC</t>
        </is>
      </c>
      <c r="G30" t="inlineStr">
        <is>
          <t>SC</t>
        </is>
      </c>
      <c r="H30" t="inlineStr">
        <is>
          <t>WD6</t>
        </is>
      </c>
      <c r="I30" t="inlineStr">
        <is>
          <t>M147769</t>
        </is>
      </c>
      <c r="J30" t="inlineStr">
        <is>
          <t>00</t>
        </is>
      </c>
      <c r="K30" t="inlineStr">
        <is>
          <t>10/01/2025</t>
        </is>
      </c>
      <c r="L30" t="inlineStr">
        <is>
          <t>10/01/2026</t>
        </is>
      </c>
      <c r="M30" t="inlineStr">
        <is>
          <t>11/04/2025</t>
        </is>
      </c>
      <c r="N30" t="inlineStr">
        <is>
          <t>11/06/2025</t>
        </is>
      </c>
      <c r="O30" t="n">
        <v>2</v>
      </c>
      <c r="P30" t="inlineStr">
        <is>
          <t>closed</t>
        </is>
      </c>
      <c r="Q30" t="inlineStr">
        <is>
          <t>11/21/2025</t>
        </is>
      </c>
      <c r="R30" t="inlineStr">
        <is>
          <t>WC Coverage -Med Only</t>
        </is>
      </c>
      <c r="S30" t="n">
        <v>0</v>
      </c>
      <c r="T30" t="n">
        <v>0</v>
      </c>
      <c r="U30" t="n">
        <v>0</v>
      </c>
      <c r="V30" t="n">
        <v>0</v>
      </c>
      <c r="W30" t="n">
        <v>16.75</v>
      </c>
      <c r="X30" t="n">
        <v>16.75</v>
      </c>
      <c r="Y30" t="n">
        <v>0</v>
      </c>
      <c r="Z30" t="n">
        <v>0</v>
      </c>
      <c r="AA30" t="n">
        <v>0</v>
      </c>
      <c r="AB30" t="n">
        <v>0</v>
      </c>
      <c r="AC30" t="n">
        <v>0</v>
      </c>
      <c r="AE30" t="inlineStr">
        <is>
          <t>MP-Multiple Body Parts</t>
        </is>
      </c>
      <c r="AF30" t="inlineStr">
        <is>
          <t>D4-Strain</t>
        </is>
      </c>
      <c r="AG30" t="inlineStr">
        <is>
          <t>J1-Collision with another vehicle</t>
        </is>
      </c>
      <c r="AL30" t="inlineStr"/>
      <c r="AM30" t="inlineStr">
        <is>
          <t>Unknown</t>
        </is>
      </c>
      <c r="AN30" t="inlineStr">
        <is>
          <t>Tuesday</t>
        </is>
      </c>
      <c r="AO30" t="inlineStr">
        <is>
          <t> </t>
        </is>
      </c>
      <c r="AW30" t="inlineStr">
        <is>
          <t>FOUNTAIN, BRANDON</t>
        </is>
      </c>
      <c r="AX30" t="inlineStr">
        <is>
          <t>WD6-M147769-00</t>
        </is>
      </c>
      <c r="AY30" t="n">
        <v>2025</v>
      </c>
      <c r="AZ30" t="n">
        <v>0</v>
      </c>
      <c r="BA30" t="inlineStr">
        <is>
          <t>83-0016771102</t>
        </is>
      </c>
      <c r="BB30" t="n">
        <v>0</v>
      </c>
      <c r="BC30" t="n">
        <v>0</v>
      </c>
    </row>
    <row r="31">
      <c r="A31" t="inlineStr">
        <is>
          <t>1521764304</t>
        </is>
      </c>
      <c r="B31" t="inlineStr">
        <is>
          <t>AMAROK LLC</t>
        </is>
      </c>
      <c r="C31" t="inlineStr">
        <is>
          <t>83-00167707</t>
        </is>
      </c>
      <c r="D31" t="inlineStr">
        <is>
          <t>01</t>
        </is>
      </c>
      <c r="E31" t="inlineStr">
        <is>
          <t>Flores, Gilbert</t>
        </is>
      </c>
      <c r="F31" t="inlineStr">
        <is>
          <t>550 Assembly St, Columbia, SC</t>
        </is>
      </c>
      <c r="G31" t="inlineStr">
        <is>
          <t>SC</t>
        </is>
      </c>
      <c r="H31" t="inlineStr">
        <is>
          <t>WD6</t>
        </is>
      </c>
      <c r="I31" t="inlineStr">
        <is>
          <t>M147769</t>
        </is>
      </c>
      <c r="J31" t="inlineStr">
        <is>
          <t>00</t>
        </is>
      </c>
      <c r="K31" t="inlineStr">
        <is>
          <t>10/01/2025</t>
        </is>
      </c>
      <c r="L31" t="inlineStr">
        <is>
          <t>10/01/2026</t>
        </is>
      </c>
      <c r="M31" t="inlineStr">
        <is>
          <t>11/04/2025</t>
        </is>
      </c>
      <c r="N31" t="inlineStr">
        <is>
          <t>11/06/2025</t>
        </is>
      </c>
      <c r="O31" t="n">
        <v>2</v>
      </c>
      <c r="P31" t="inlineStr">
        <is>
          <t>closed</t>
        </is>
      </c>
      <c r="Q31" t="inlineStr">
        <is>
          <t>11/21/2025</t>
        </is>
      </c>
      <c r="R31" t="inlineStr">
        <is>
          <t>WC Coverage - Other than Med</t>
        </is>
      </c>
      <c r="S31" t="n">
        <v>0</v>
      </c>
      <c r="T31" t="n">
        <v>0</v>
      </c>
      <c r="U31" t="n">
        <v>0</v>
      </c>
      <c r="V31" t="n">
        <v>0</v>
      </c>
      <c r="W31" t="n">
        <v>0</v>
      </c>
      <c r="X31" t="n">
        <v>0</v>
      </c>
      <c r="Y31" t="n">
        <v>0</v>
      </c>
      <c r="Z31" t="n">
        <v>0</v>
      </c>
      <c r="AA31" t="n">
        <v>0</v>
      </c>
      <c r="AB31" t="n">
        <v>0</v>
      </c>
      <c r="AC31" t="n">
        <v>0</v>
      </c>
      <c r="AE31" t="inlineStr">
        <is>
          <t>MP-Multiple Body Parts</t>
        </is>
      </c>
      <c r="AF31" t="inlineStr">
        <is>
          <t>D4-Strain</t>
        </is>
      </c>
      <c r="AG31" t="inlineStr">
        <is>
          <t>J1-Collision with another vehicle</t>
        </is>
      </c>
      <c r="AL31" t="inlineStr"/>
      <c r="AM31" t="inlineStr">
        <is>
          <t>Unknown</t>
        </is>
      </c>
      <c r="AN31" t="inlineStr">
        <is>
          <t>Tuesday</t>
        </is>
      </c>
      <c r="AO31" t="inlineStr">
        <is>
          <t> </t>
        </is>
      </c>
      <c r="AW31" t="inlineStr">
        <is>
          <t>FOUNTAIN, BRANDON</t>
        </is>
      </c>
      <c r="AX31" t="inlineStr">
        <is>
          <t>WD6-M147769-00</t>
        </is>
      </c>
      <c r="AY31" t="n">
        <v>2025</v>
      </c>
      <c r="AZ31" t="n">
        <v>0</v>
      </c>
      <c r="BA31" t="inlineStr">
        <is>
          <t>83-0016770701</t>
        </is>
      </c>
      <c r="BB31" t="n">
        <v>0</v>
      </c>
      <c r="BC31" t="n">
        <v>0</v>
      </c>
    </row>
    <row r="32">
      <c r="A32" t="inlineStr">
        <is>
          <t>1521764304</t>
        </is>
      </c>
      <c r="B32" t="inlineStr">
        <is>
          <t>AMAROK LLC</t>
        </is>
      </c>
      <c r="C32" t="inlineStr">
        <is>
          <t>83-00169838</t>
        </is>
      </c>
      <c r="D32" t="inlineStr">
        <is>
          <t>01</t>
        </is>
      </c>
      <c r="E32" t="inlineStr">
        <is>
          <t>Carson, Jennie</t>
        </is>
      </c>
      <c r="F32" t="inlineStr">
        <is>
          <t>Georgia</t>
        </is>
      </c>
      <c r="G32" t="inlineStr">
        <is>
          <t>GA</t>
        </is>
      </c>
      <c r="H32" t="inlineStr">
        <is>
          <t>WD6</t>
        </is>
      </c>
      <c r="I32" t="inlineStr">
        <is>
          <t>M147769</t>
        </is>
      </c>
      <c r="J32" t="inlineStr">
        <is>
          <t>00</t>
        </is>
      </c>
      <c r="K32" t="inlineStr">
        <is>
          <t>10/01/2025</t>
        </is>
      </c>
      <c r="L32" t="inlineStr">
        <is>
          <t>10/01/2026</t>
        </is>
      </c>
      <c r="M32" t="inlineStr">
        <is>
          <t>12/16/2025</t>
        </is>
      </c>
      <c r="N32" t="inlineStr">
        <is>
          <t>12/17/2025</t>
        </is>
      </c>
      <c r="O32" t="n">
        <v>1</v>
      </c>
      <c r="P32" t="inlineStr">
        <is>
          <t>closed</t>
        </is>
      </c>
      <c r="Q32" t="inlineStr">
        <is>
          <t>03/12/2026</t>
        </is>
      </c>
      <c r="R32" t="inlineStr">
        <is>
          <t>WC Coverage - Other than Med</t>
        </is>
      </c>
      <c r="S32" t="n">
        <v>0</v>
      </c>
      <c r="T32" t="n">
        <v>0</v>
      </c>
      <c r="U32" t="n">
        <v>0</v>
      </c>
      <c r="V32" t="n">
        <v>0</v>
      </c>
      <c r="W32" t="n">
        <v>0</v>
      </c>
      <c r="X32" t="n">
        <v>0</v>
      </c>
      <c r="Y32" t="n">
        <v>0</v>
      </c>
      <c r="Z32" t="n">
        <v>0</v>
      </c>
      <c r="AA32" t="n">
        <v>0</v>
      </c>
      <c r="AB32" t="n">
        <v>0</v>
      </c>
      <c r="AC32" t="n">
        <v>0</v>
      </c>
      <c r="AE32" t="inlineStr">
        <is>
          <t>H5-Knee</t>
        </is>
      </c>
      <c r="AF32" t="inlineStr">
        <is>
          <t>C4-Lacerations</t>
        </is>
      </c>
      <c r="AG32" t="inlineStr">
        <is>
          <t>F6-Fall/slip - miscellaneous</t>
        </is>
      </c>
      <c r="AL32" t="inlineStr"/>
      <c r="AM32" t="inlineStr">
        <is>
          <t>Field Tech</t>
        </is>
      </c>
      <c r="AN32" t="inlineStr">
        <is>
          <t>Tuesday</t>
        </is>
      </c>
      <c r="AO32" t="inlineStr">
        <is>
          <t> </t>
        </is>
      </c>
      <c r="AW32" t="inlineStr">
        <is>
          <t>MUNS, MEGAN</t>
        </is>
      </c>
      <c r="AX32" t="inlineStr">
        <is>
          <t>WD6-M147769-00</t>
        </is>
      </c>
      <c r="AY32" t="n">
        <v>2025</v>
      </c>
      <c r="AZ32" t="n">
        <v>0</v>
      </c>
      <c r="BA32" t="inlineStr">
        <is>
          <t>83-0016983801</t>
        </is>
      </c>
      <c r="BB32" t="n">
        <v>0</v>
      </c>
      <c r="BC32" t="n">
        <v>1</v>
      </c>
    </row>
    <row r="33">
      <c r="A33" t="inlineStr">
        <is>
          <t>1521764304</t>
        </is>
      </c>
      <c r="B33" t="inlineStr">
        <is>
          <t>AMAROK LLC</t>
        </is>
      </c>
      <c r="C33" t="inlineStr">
        <is>
          <t>85-00864395</t>
        </is>
      </c>
      <c r="D33" t="inlineStr">
        <is>
          <t>01</t>
        </is>
      </c>
      <c r="E33" t="inlineStr">
        <is>
          <t>American United Transportation</t>
        </is>
      </c>
      <c r="G33" t="inlineStr">
        <is>
          <t>NY</t>
        </is>
      </c>
      <c r="H33" t="inlineStr">
        <is>
          <t>AH6</t>
        </is>
      </c>
      <c r="I33" t="inlineStr">
        <is>
          <t>M147006</t>
        </is>
      </c>
      <c r="J33" t="inlineStr">
        <is>
          <t>00</t>
        </is>
      </c>
      <c r="K33" t="inlineStr">
        <is>
          <t>10/01/2025</t>
        </is>
      </c>
      <c r="L33" t="inlineStr">
        <is>
          <t>10/01/2026</t>
        </is>
      </c>
      <c r="M33" t="inlineStr">
        <is>
          <t>10/16/2025</t>
        </is>
      </c>
      <c r="N33" t="inlineStr">
        <is>
          <t>10/27/2025</t>
        </is>
      </c>
      <c r="O33" t="n">
        <v>11</v>
      </c>
      <c r="P33" t="inlineStr">
        <is>
          <t>closed</t>
        </is>
      </c>
      <c r="Q33" t="inlineStr">
        <is>
          <t>02/02/2026</t>
        </is>
      </c>
      <c r="R33" t="inlineStr">
        <is>
          <t>Liability - VehicleDamage</t>
        </is>
      </c>
      <c r="S33" t="n">
        <v>0</v>
      </c>
      <c r="T33" t="n">
        <v>3917.14</v>
      </c>
      <c r="U33" t="n">
        <v>3917.14</v>
      </c>
      <c r="V33" t="n">
        <v>0</v>
      </c>
      <c r="W33" t="n">
        <v>0</v>
      </c>
      <c r="X33" t="n">
        <v>3917.14</v>
      </c>
      <c r="Y33" t="n">
        <v>0</v>
      </c>
      <c r="Z33" t="n">
        <v>0</v>
      </c>
      <c r="AA33" t="n">
        <v>0</v>
      </c>
      <c r="AB33" t="n">
        <v>0</v>
      </c>
      <c r="AC33" t="n">
        <v>0</v>
      </c>
      <c r="AE33" t="inlineStr">
        <is>
          <t>Lane Change/Merge Accident</t>
        </is>
      </c>
      <c r="AF33" t="inlineStr">
        <is>
          <t>IV Departed Lane-Hit OV</t>
        </is>
      </c>
      <c r="AG33" t="inlineStr">
        <is>
          <t>Unspecified</t>
        </is>
      </c>
      <c r="AL33" t="inlineStr"/>
      <c r="AM33" t="inlineStr">
        <is>
          <t> </t>
        </is>
      </c>
      <c r="AN33" t="inlineStr">
        <is>
          <t>Thursday</t>
        </is>
      </c>
      <c r="AO33" t="inlineStr">
        <is>
          <t>Isiah Miller</t>
        </is>
      </c>
      <c r="AW33" t="inlineStr">
        <is>
          <t>BLISS, AMANDA</t>
        </is>
      </c>
      <c r="AX33" t="inlineStr">
        <is>
          <t>AH6-M147006-00</t>
        </is>
      </c>
      <c r="AY33" t="n">
        <v>2025</v>
      </c>
      <c r="AZ33" t="n">
        <v>0</v>
      </c>
      <c r="BA33" t="inlineStr">
        <is>
          <t>85-0086439501</t>
        </is>
      </c>
      <c r="BB33" t="n">
        <v>3917.14</v>
      </c>
      <c r="BC33" t="n">
        <v>1</v>
      </c>
    </row>
    <row r="34">
      <c r="A34" t="inlineStr">
        <is>
          <t>1521764304</t>
        </is>
      </c>
      <c r="B34" t="inlineStr">
        <is>
          <t>AMAROK LLC</t>
        </is>
      </c>
      <c r="C34" t="inlineStr">
        <is>
          <t>83-00169838</t>
        </is>
      </c>
      <c r="D34" t="inlineStr">
        <is>
          <t>02</t>
        </is>
      </c>
      <c r="E34" t="inlineStr">
        <is>
          <t>Carson, Jennie</t>
        </is>
      </c>
      <c r="F34" t="inlineStr">
        <is>
          <t>Georgia</t>
        </is>
      </c>
      <c r="G34" t="inlineStr">
        <is>
          <t>GA</t>
        </is>
      </c>
      <c r="H34" t="inlineStr">
        <is>
          <t>WD6</t>
        </is>
      </c>
      <c r="I34" t="inlineStr">
        <is>
          <t>M147769</t>
        </is>
      </c>
      <c r="J34" t="inlineStr">
        <is>
          <t>00</t>
        </is>
      </c>
      <c r="K34" t="inlineStr">
        <is>
          <t>10/01/2025</t>
        </is>
      </c>
      <c r="L34" t="inlineStr">
        <is>
          <t>10/01/2026</t>
        </is>
      </c>
      <c r="M34" t="inlineStr">
        <is>
          <t>12/16/2025</t>
        </is>
      </c>
      <c r="N34" t="inlineStr">
        <is>
          <t>12/17/2025</t>
        </is>
      </c>
      <c r="O34" t="n">
        <v>1</v>
      </c>
      <c r="P34" t="inlineStr">
        <is>
          <t>closed</t>
        </is>
      </c>
      <c r="Q34" t="inlineStr">
        <is>
          <t>03/12/2026</t>
        </is>
      </c>
      <c r="R34" t="inlineStr">
        <is>
          <t>WC Coverage -Med Only</t>
        </is>
      </c>
      <c r="S34" t="n">
        <v>0</v>
      </c>
      <c r="T34" t="n">
        <v>773.04</v>
      </c>
      <c r="U34" t="n">
        <v>773.04</v>
      </c>
      <c r="V34" t="n">
        <v>0</v>
      </c>
      <c r="W34" t="n">
        <v>17.89</v>
      </c>
      <c r="X34" t="n">
        <v>790.9299999999999</v>
      </c>
      <c r="Y34" t="n">
        <v>0</v>
      </c>
      <c r="Z34" t="n">
        <v>0</v>
      </c>
      <c r="AA34" t="n">
        <v>0</v>
      </c>
      <c r="AB34" t="n">
        <v>0</v>
      </c>
      <c r="AC34" t="n">
        <v>0</v>
      </c>
      <c r="AE34" t="inlineStr">
        <is>
          <t>H5-Knee</t>
        </is>
      </c>
      <c r="AF34" t="inlineStr">
        <is>
          <t>C4-Lacerations</t>
        </is>
      </c>
      <c r="AG34" t="inlineStr">
        <is>
          <t>F6-Fall/slip - miscellaneous</t>
        </is>
      </c>
      <c r="AL34" t="inlineStr"/>
      <c r="AM34" t="inlineStr">
        <is>
          <t>Field Tech</t>
        </is>
      </c>
      <c r="AN34" t="inlineStr">
        <is>
          <t>Tuesday</t>
        </is>
      </c>
      <c r="AO34" t="inlineStr">
        <is>
          <t> </t>
        </is>
      </c>
      <c r="AW34" t="inlineStr">
        <is>
          <t>MUNS, MEGAN</t>
        </is>
      </c>
      <c r="AX34" t="inlineStr">
        <is>
          <t>WD6-M147769-00</t>
        </is>
      </c>
      <c r="AY34" t="n">
        <v>2025</v>
      </c>
      <c r="AZ34" t="n">
        <v>0</v>
      </c>
      <c r="BA34" t="inlineStr">
        <is>
          <t>83-0016983802</t>
        </is>
      </c>
      <c r="BB34" t="n">
        <v>773.04</v>
      </c>
      <c r="BC34" t="n">
        <v>0</v>
      </c>
    </row>
    <row r="35">
      <c r="A35" t="inlineStr">
        <is>
          <t>1521764304</t>
        </is>
      </c>
      <c r="B35" t="inlineStr">
        <is>
          <t>AMAROK LLC</t>
        </is>
      </c>
      <c r="C35" t="inlineStr">
        <is>
          <t>85-00939799</t>
        </is>
      </c>
      <c r="D35" t="inlineStr">
        <is>
          <t>01</t>
        </is>
      </c>
      <c r="E35" t="inlineStr">
        <is>
          <t>Ramirez, Efrain</t>
        </is>
      </c>
      <c r="G35" t="inlineStr">
        <is>
          <t>GA</t>
        </is>
      </c>
      <c r="H35" t="inlineStr">
        <is>
          <t>LH6</t>
        </is>
      </c>
      <c r="I35" t="inlineStr">
        <is>
          <t>M167160</t>
        </is>
      </c>
      <c r="J35" t="inlineStr">
        <is>
          <t>00</t>
        </is>
      </c>
      <c r="K35" t="inlineStr">
        <is>
          <t>10/01/2025</t>
        </is>
      </c>
      <c r="L35" t="inlineStr">
        <is>
          <t>10/01/2026</t>
        </is>
      </c>
      <c r="M35" t="inlineStr">
        <is>
          <t>03/12/2026</t>
        </is>
      </c>
      <c r="N35" t="inlineStr">
        <is>
          <t>03/26/2026</t>
        </is>
      </c>
      <c r="O35" t="n">
        <v>14</v>
      </c>
      <c r="P35" t="inlineStr">
        <is>
          <t>open</t>
        </is>
      </c>
      <c r="R35" t="inlineStr">
        <is>
          <t>Premises/Operations-Advertising Personal Injury Vehicle Damage</t>
        </is>
      </c>
      <c r="S35" t="n">
        <v>0</v>
      </c>
      <c r="T35" t="n">
        <v>4683.51</v>
      </c>
      <c r="U35" t="n">
        <v>4683.51</v>
      </c>
      <c r="V35" t="n">
        <v>0</v>
      </c>
      <c r="W35" t="n">
        <v>0</v>
      </c>
      <c r="X35" t="n">
        <v>4683.51</v>
      </c>
      <c r="Y35" t="n">
        <v>0</v>
      </c>
      <c r="Z35" t="n">
        <v>0</v>
      </c>
      <c r="AA35" t="n">
        <v>0</v>
      </c>
      <c r="AB35" t="n">
        <v>0</v>
      </c>
      <c r="AC35" t="n">
        <v>0</v>
      </c>
      <c r="AE35" t="inlineStr">
        <is>
          <t>Vehicle Damage</t>
        </is>
      </c>
      <c r="AF35" t="inlineStr">
        <is>
          <t>Struck by Falling/Flying Object</t>
        </is>
      </c>
      <c r="AG35" t="inlineStr">
        <is>
          <t>Gate</t>
        </is>
      </c>
      <c r="AL35" t="inlineStr"/>
      <c r="AM35" t="inlineStr">
        <is>
          <t> </t>
        </is>
      </c>
      <c r="AN35" t="inlineStr">
        <is>
          <t>Thursday</t>
        </is>
      </c>
      <c r="AO35" t="inlineStr">
        <is>
          <t> </t>
        </is>
      </c>
      <c r="AW35" t="inlineStr">
        <is>
          <t>GOLSCH, JENNIFER</t>
        </is>
      </c>
      <c r="AX35" t="inlineStr">
        <is>
          <t>LH6-M167160-00</t>
        </is>
      </c>
      <c r="AY35" t="n">
        <v>2025</v>
      </c>
      <c r="AZ35" t="n">
        <v>0</v>
      </c>
      <c r="BA35" t="inlineStr">
        <is>
          <t>85-0093979901</t>
        </is>
      </c>
      <c r="BB35" t="n">
        <v>4683.51</v>
      </c>
      <c r="BC35" t="n">
        <v>1</v>
      </c>
    </row>
    <row r="36">
      <c r="A36" t="inlineStr">
        <is>
          <t>1521764304</t>
        </is>
      </c>
      <c r="B36" t="inlineStr">
        <is>
          <t>AMAROK LLC</t>
        </is>
      </c>
      <c r="C36" t="inlineStr">
        <is>
          <t>83-00175637</t>
        </is>
      </c>
      <c r="D36" t="inlineStr">
        <is>
          <t>02</t>
        </is>
      </c>
      <c r="E36" t="inlineStr">
        <is>
          <t>Anderson, Travis</t>
        </is>
      </c>
      <c r="F36" t="inlineStr">
        <is>
          <t>261 The Boulevard, Columbia, SC</t>
        </is>
      </c>
      <c r="G36" t="inlineStr">
        <is>
          <t>SC</t>
        </is>
      </c>
      <c r="H36" t="inlineStr">
        <is>
          <t>WD6</t>
        </is>
      </c>
      <c r="I36" t="inlineStr">
        <is>
          <t>M147769</t>
        </is>
      </c>
      <c r="J36" t="inlineStr">
        <is>
          <t>00</t>
        </is>
      </c>
      <c r="K36" t="inlineStr">
        <is>
          <t>10/01/2025</t>
        </is>
      </c>
      <c r="L36" t="inlineStr">
        <is>
          <t>10/01/2026</t>
        </is>
      </c>
      <c r="M36" t="inlineStr">
        <is>
          <t>03/11/2026</t>
        </is>
      </c>
      <c r="N36" t="inlineStr">
        <is>
          <t>03/30/2026</t>
        </is>
      </c>
      <c r="O36" t="n">
        <v>19</v>
      </c>
      <c r="P36" t="inlineStr">
        <is>
          <t>closed</t>
        </is>
      </c>
      <c r="Q36" t="inlineStr">
        <is>
          <t>04/06/2026</t>
        </is>
      </c>
      <c r="R36" t="inlineStr">
        <is>
          <t>WC Coverage -Med Only</t>
        </is>
      </c>
      <c r="S36" t="n">
        <v>0</v>
      </c>
      <c r="T36" t="n">
        <v>0</v>
      </c>
      <c r="U36" t="n">
        <v>0</v>
      </c>
      <c r="V36" t="n">
        <v>0</v>
      </c>
      <c r="W36" t="n">
        <v>0</v>
      </c>
      <c r="X36" t="n">
        <v>0</v>
      </c>
      <c r="Y36" t="n">
        <v>0</v>
      </c>
      <c r="Z36" t="n">
        <v>0</v>
      </c>
      <c r="AA36" t="n">
        <v>0</v>
      </c>
      <c r="AB36" t="n">
        <v>0</v>
      </c>
      <c r="AC36" t="n">
        <v>0</v>
      </c>
      <c r="AE36" t="inlineStr">
        <is>
          <t>H5-Knee</t>
        </is>
      </c>
      <c r="AF36" t="inlineStr">
        <is>
          <t>D4-Strain</t>
        </is>
      </c>
      <c r="AG36" t="inlineStr">
        <is>
          <t>L9-Strain or injury by - misc.</t>
        </is>
      </c>
      <c r="AL36" t="inlineStr"/>
      <c r="AM36" t="inlineStr">
        <is>
          <t>Warehouse Logistics Coordinator</t>
        </is>
      </c>
      <c r="AN36" t="inlineStr">
        <is>
          <t>Wednesday</t>
        </is>
      </c>
      <c r="AO36" t="inlineStr">
        <is>
          <t> </t>
        </is>
      </c>
      <c r="AW36" t="inlineStr">
        <is>
          <t>GADDAM, TINEAL</t>
        </is>
      </c>
      <c r="AX36" t="inlineStr">
        <is>
          <t>WD6-M147769-00</t>
        </is>
      </c>
      <c r="AY36" t="n">
        <v>2025</v>
      </c>
      <c r="AZ36" t="n">
        <v>0</v>
      </c>
      <c r="BA36" t="inlineStr">
        <is>
          <t>83-0017563702</t>
        </is>
      </c>
      <c r="BB36" t="n">
        <v>0</v>
      </c>
      <c r="BC36" t="n">
        <v>0</v>
      </c>
    </row>
    <row r="37">
      <c r="A37" t="inlineStr">
        <is>
          <t>1521764304</t>
        </is>
      </c>
      <c r="B37" t="inlineStr">
        <is>
          <t>AMAROK LLC</t>
        </is>
      </c>
      <c r="C37" t="inlineStr">
        <is>
          <t>85-00913097</t>
        </is>
      </c>
      <c r="D37" t="inlineStr">
        <is>
          <t>02</t>
        </is>
      </c>
      <c r="E37" t="inlineStr">
        <is>
          <t>Termores, Dennis</t>
        </is>
      </c>
      <c r="G37" t="inlineStr">
        <is>
          <t>CA</t>
        </is>
      </c>
      <c r="H37" t="inlineStr">
        <is>
          <t>AH6</t>
        </is>
      </c>
      <c r="I37" t="inlineStr">
        <is>
          <t>M147006</t>
        </is>
      </c>
      <c r="J37" t="inlineStr">
        <is>
          <t>00</t>
        </is>
      </c>
      <c r="K37" t="inlineStr">
        <is>
          <t>10/01/2025</t>
        </is>
      </c>
      <c r="L37" t="inlineStr">
        <is>
          <t>10/01/2026</t>
        </is>
      </c>
      <c r="M37" t="inlineStr">
        <is>
          <t>02/06/2026</t>
        </is>
      </c>
      <c r="N37" t="inlineStr">
        <is>
          <t>02/06/2026</t>
        </is>
      </c>
      <c r="O37" t="n">
        <v>0</v>
      </c>
      <c r="P37" t="inlineStr">
        <is>
          <t>open</t>
        </is>
      </c>
      <c r="R37" t="inlineStr">
        <is>
          <t>Liability - VehicleDamage</t>
        </is>
      </c>
      <c r="S37" t="n">
        <v>0</v>
      </c>
      <c r="T37" t="n">
        <v>2048.54</v>
      </c>
      <c r="U37" t="n">
        <v>2048.54</v>
      </c>
      <c r="V37" t="n">
        <v>0</v>
      </c>
      <c r="W37" t="n">
        <v>0</v>
      </c>
      <c r="X37" t="n">
        <v>2048.54</v>
      </c>
      <c r="Y37" t="n">
        <v>0</v>
      </c>
      <c r="Z37" t="n">
        <v>0</v>
      </c>
      <c r="AA37" t="n">
        <v>0</v>
      </c>
      <c r="AB37" t="n">
        <v>0</v>
      </c>
      <c r="AC37" t="n">
        <v>0</v>
      </c>
      <c r="AE37" t="inlineStr">
        <is>
          <t>Struck Other Object</t>
        </is>
      </c>
      <c r="AF37" t="inlineStr">
        <is>
          <t>IV Struck Parked OV</t>
        </is>
      </c>
      <c r="AG37" t="inlineStr">
        <is>
          <t>Parking Lot</t>
        </is>
      </c>
      <c r="AL37" t="inlineStr"/>
      <c r="AM37" t="inlineStr">
        <is>
          <t> </t>
        </is>
      </c>
      <c r="AN37" t="inlineStr">
        <is>
          <t>Friday</t>
        </is>
      </c>
      <c r="AO37" t="inlineStr">
        <is>
          <t>Gavin Hendriks</t>
        </is>
      </c>
      <c r="AW37" t="inlineStr">
        <is>
          <t>GREGOIRE, DANIELLE</t>
        </is>
      </c>
      <c r="AX37" t="inlineStr">
        <is>
          <t>AH6-M147006-00</t>
        </is>
      </c>
      <c r="AY37" t="n">
        <v>2025</v>
      </c>
      <c r="AZ37" t="n">
        <v>0</v>
      </c>
      <c r="BA37" t="inlineStr">
        <is>
          <t>85-0091309702</t>
        </is>
      </c>
      <c r="BB37" t="n">
        <v>2048.54</v>
      </c>
      <c r="BC37" t="n">
        <v>0</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D5"/>
  <sheetViews>
    <sheetView workbookViewId="0">
      <selection activeCell="A2" sqref="A2"/>
    </sheetView>
  </sheetViews>
  <sheetFormatPr baseColWidth="8" defaultColWidth="8.85546875" defaultRowHeight="15"/>
  <cols>
    <col width="20.28515625" bestFit="1" customWidth="1" style="31" min="1" max="1"/>
    <col width="22" bestFit="1" customWidth="1" style="31" min="2" max="2"/>
    <col width="16.42578125" bestFit="1" customWidth="1" style="31" min="3" max="3"/>
    <col width="11.7109375" bestFit="1" customWidth="1" style="31" min="4" max="4"/>
    <col width="17.28515625" bestFit="1" customWidth="1" style="31" min="5" max="5"/>
    <col width="28.140625" bestFit="1" customWidth="1" style="31" min="6" max="6"/>
    <col width="16.42578125" bestFit="1" customWidth="1" style="31" min="7" max="7"/>
    <col width="16" bestFit="1" customWidth="1" style="31" min="8" max="8"/>
    <col width="16.5703125" bestFit="1" customWidth="1" style="31" min="9" max="9"/>
    <col width="13.5703125" bestFit="1" customWidth="1" style="31" min="10" max="10"/>
    <col width="22.28515625" bestFit="1" customWidth="1" style="31" min="11" max="11"/>
    <col width="23.28515625" bestFit="1" customWidth="1" style="31" min="12" max="12"/>
    <col width="12.140625" bestFit="1" customWidth="1" style="31" min="13" max="13"/>
    <col width="16.42578125" bestFit="1" customWidth="1" style="31" min="14" max="14"/>
    <col width="11.140625" bestFit="1" customWidth="1" style="31" min="15" max="15"/>
    <col width="14.7109375" bestFit="1" customWidth="1" style="31" min="16" max="16"/>
    <col width="20.42578125" bestFit="1" customWidth="1" style="31" min="17" max="17"/>
    <col width="11.85546875" bestFit="1" customWidth="1" style="31" min="18" max="18"/>
    <col width="27.140625" bestFit="1" customWidth="1" style="31" min="19" max="19"/>
    <col width="48.5703125" bestFit="1" customWidth="1" style="31" min="20" max="20"/>
    <col width="19.7109375" bestFit="1" customWidth="1" style="31" min="21" max="21"/>
    <col width="15.7109375" bestFit="1" customWidth="1" style="31" min="22" max="22"/>
    <col width="12" bestFit="1" customWidth="1" style="31" min="23" max="23"/>
    <col width="22.28515625" bestFit="1" customWidth="1" style="31" min="24" max="24"/>
    <col width="19.140625" bestFit="1" customWidth="1" style="31" min="25" max="25"/>
    <col width="17.5703125" bestFit="1" customWidth="1" style="31" min="26" max="26"/>
    <col width="16.42578125" bestFit="1" customWidth="1" style="31" min="27" max="27"/>
    <col width="22.42578125" bestFit="1" customWidth="1" style="31" min="28" max="28"/>
    <col width="20.140625" bestFit="1" customWidth="1" style="31" min="29" max="29"/>
    <col width="18" bestFit="1" customWidth="1" style="31" min="30" max="30"/>
    <col width="16.28515625" bestFit="1" customWidth="1" style="31" min="31" max="31"/>
    <col width="21" bestFit="1" customWidth="1" style="31" min="32" max="33"/>
    <col width="10.28515625" bestFit="1" customWidth="1" style="31" min="34" max="34"/>
    <col width="15.42578125" bestFit="1" customWidth="1" style="31" min="35" max="35"/>
    <col width="26.85546875" bestFit="1" customWidth="1" style="31" min="36" max="36"/>
    <col width="28.42578125" bestFit="1" customWidth="1" style="31" min="37" max="37"/>
    <col width="29.28515625" bestFit="1" customWidth="1" style="31" min="38" max="38"/>
    <col width="13.5703125" bestFit="1" customWidth="1" style="31" min="39" max="39"/>
    <col width="23.42578125" bestFit="1" customWidth="1" style="31" min="40" max="40"/>
    <col width="16.28515625" bestFit="1" customWidth="1" style="31" min="41" max="41"/>
    <col width="21" bestFit="1" customWidth="1" style="31" min="42" max="42"/>
    <col width="14.42578125" bestFit="1" customWidth="1" style="31" min="43" max="43"/>
    <col width="22.7109375" bestFit="1" customWidth="1" style="31" min="44" max="44"/>
    <col width="16.140625" bestFit="1" customWidth="1" style="31" min="45" max="45"/>
    <col width="20.42578125" bestFit="1" customWidth="1" style="31" min="46" max="46"/>
    <col width="22.7109375" bestFit="1" customWidth="1" style="31" min="47" max="47"/>
    <col width="22.85546875" bestFit="1" customWidth="1" style="31" min="48" max="48"/>
    <col width="10.85546875" bestFit="1" customWidth="1" style="31" min="49" max="49"/>
    <col width="23" bestFit="1" customWidth="1" style="31" min="50" max="50"/>
    <col width="8.7109375" bestFit="1" customWidth="1" style="31" min="51" max="51"/>
    <col width="13.140625" bestFit="1" customWidth="1" style="31" min="52" max="52"/>
    <col width="19.140625" bestFit="1" customWidth="1" style="31" min="53" max="53"/>
    <col width="24" bestFit="1" customWidth="1" style="31" min="54" max="54"/>
    <col width="15.85546875" bestFit="1" customWidth="1" style="31" min="55" max="55"/>
    <col width="23" bestFit="1" customWidth="1" style="31" min="56" max="56"/>
    <col width="8.85546875" customWidth="1" style="31" min="57" max="16384"/>
  </cols>
  <sheetData>
    <row r="1">
      <c r="A1" t="inlineStr">
        <is>
          <t>Customer Number</t>
        </is>
      </c>
      <c r="B1" t="inlineStr">
        <is>
          <t>Policy Insured Name</t>
        </is>
      </c>
      <c r="C1" t="inlineStr">
        <is>
          <t>Claim Number</t>
        </is>
      </c>
      <c r="D1" t="inlineStr">
        <is>
          <t>Exposure</t>
        </is>
      </c>
      <c r="E1" t="inlineStr">
        <is>
          <t>Claimant Name</t>
        </is>
      </c>
      <c r="F1" t="inlineStr">
        <is>
          <t>Account Location Identifier</t>
        </is>
      </c>
      <c r="G1" t="inlineStr">
        <is>
          <t>Accident State</t>
        </is>
      </c>
      <c r="H1" t="inlineStr">
        <is>
          <t>Policy Symbol</t>
        </is>
      </c>
      <c r="I1" t="inlineStr">
        <is>
          <t>Policy Number</t>
        </is>
      </c>
      <c r="J1" t="inlineStr">
        <is>
          <t>Policy MOD</t>
        </is>
      </c>
      <c r="K1" t="inlineStr">
        <is>
          <t>Policy Effective Date</t>
        </is>
      </c>
      <c r="L1" t="inlineStr">
        <is>
          <t>Policy Expiration Date</t>
        </is>
      </c>
      <c r="M1" t="inlineStr">
        <is>
          <t>Loss Date</t>
        </is>
      </c>
      <c r="N1" t="inlineStr">
        <is>
          <t>Date of Notice</t>
        </is>
      </c>
      <c r="O1" t="inlineStr">
        <is>
          <t>Lag Time</t>
        </is>
      </c>
      <c r="P1" t="inlineStr">
        <is>
          <t>Claim Status</t>
        </is>
      </c>
      <c r="Q1" t="inlineStr">
        <is>
          <t>Claim Closed Date</t>
        </is>
      </c>
      <c r="R1" t="inlineStr">
        <is>
          <t>Coverage</t>
        </is>
      </c>
      <c r="S1" t="inlineStr">
        <is>
          <t>Cause Of Loss</t>
        </is>
      </c>
      <c r="T1" t="inlineStr">
        <is>
          <t>Description of Loss</t>
        </is>
      </c>
      <c r="U1" t="inlineStr">
        <is>
          <t>Contributing Factor</t>
        </is>
      </c>
      <c r="V1" t="inlineStr">
        <is>
          <t>Product</t>
        </is>
      </c>
      <c r="W1" t="inlineStr">
        <is>
          <t>Manufacturer</t>
        </is>
      </c>
      <c r="X1" t="inlineStr">
        <is>
          <t>Policy Region Description</t>
        </is>
      </c>
      <c r="Y1" t="inlineStr">
        <is>
          <t>Policy Holder Retailer Desc</t>
        </is>
      </c>
      <c r="Z1" t="inlineStr">
        <is>
          <t>Policy Holder Claim Number</t>
        </is>
      </c>
      <c r="AA1" t="inlineStr">
        <is>
          <t>Occupation</t>
        </is>
      </c>
      <c r="AB1" t="inlineStr">
        <is>
          <t>Accident Day Of Week</t>
        </is>
      </c>
      <c r="AC1" t="inlineStr">
        <is>
          <t>Insured Driver</t>
        </is>
      </c>
      <c r="AD1" t="inlineStr">
        <is>
          <t>Total Loss Indicator</t>
        </is>
      </c>
      <c r="AE1" t="inlineStr">
        <is>
          <t>Vehicle Year</t>
        </is>
      </c>
      <c r="AF1" t="inlineStr">
        <is>
          <t>Vehicle Manufacturer</t>
        </is>
      </c>
      <c r="AG1" t="inlineStr">
        <is>
          <t>Vehicle Model</t>
        </is>
      </c>
      <c r="AH1" t="inlineStr">
        <is>
          <t>Vehicle ID Number</t>
        </is>
      </c>
      <c r="AI1" t="inlineStr">
        <is>
          <t>Vehicle License Plate</t>
        </is>
      </c>
      <c r="AJ1" t="inlineStr">
        <is>
          <t>Vehicle License State</t>
        </is>
      </c>
      <c r="AK1" t="inlineStr">
        <is>
          <t>Adjuster</t>
        </is>
      </c>
      <c r="AL1" t="inlineStr">
        <is>
          <t>Policy</t>
        </is>
      </c>
      <c r="AM1" t="inlineStr">
        <is>
          <t>Policy Year</t>
        </is>
      </c>
      <c r="AN1" t="inlineStr">
        <is>
          <t>Claim Feature Number</t>
        </is>
      </c>
      <c r="AO1" t="inlineStr">
        <is>
          <t>Distinct Claim Helper</t>
        </is>
      </c>
    </row>
    <row r="2">
      <c r="A2" t="inlineStr">
        <is>
          <t>1521764304</t>
        </is>
      </c>
      <c r="B2" t="inlineStr">
        <is>
          <t>AMAROK LLC</t>
        </is>
      </c>
      <c r="C2" t="inlineStr">
        <is>
          <t>85-00886083</t>
        </is>
      </c>
      <c r="D2" t="inlineStr">
        <is>
          <t>01</t>
        </is>
      </c>
      <c r="E2" t="inlineStr">
        <is>
          <t>Unknown, Unknown</t>
        </is>
      </c>
      <c r="F2" t="inlineStr">
        <is>
          <t>550 Assembly St, Columbia, SC</t>
        </is>
      </c>
      <c r="G2" t="inlineStr">
        <is>
          <t>WA</t>
        </is>
      </c>
      <c r="H2" t="inlineStr">
        <is>
          <t>LH6</t>
        </is>
      </c>
      <c r="I2" t="inlineStr">
        <is>
          <t>M167160</t>
        </is>
      </c>
      <c r="J2" t="inlineStr">
        <is>
          <t>00</t>
        </is>
      </c>
      <c r="K2" s="24" t="inlineStr">
        <is>
          <t>10/01/2025</t>
        </is>
      </c>
      <c r="L2" s="24" t="inlineStr">
        <is>
          <t>10/01/2026</t>
        </is>
      </c>
      <c r="M2" s="24" t="inlineStr">
        <is>
          <t>12/01/2025</t>
        </is>
      </c>
      <c r="N2" s="24" t="inlineStr">
        <is>
          <t>12/11/2025</t>
        </is>
      </c>
      <c r="O2" t="n">
        <v>10</v>
      </c>
      <c r="P2" t="inlineStr">
        <is>
          <t>closed</t>
        </is>
      </c>
      <c r="Q2" s="24" t="inlineStr">
        <is>
          <t>01/30/2026</t>
        </is>
      </c>
      <c r="R2" t="inlineStr">
        <is>
          <t>Premises/Operations-Advertising Personal Injury Bodily Injury</t>
        </is>
      </c>
      <c r="S2" t="inlineStr">
        <is>
          <t>Professional Liability</t>
        </is>
      </c>
      <c r="T2" t="inlineStr">
        <is>
          <t>Struck Against Object</t>
        </is>
      </c>
      <c r="U2" t="inlineStr">
        <is>
          <t>Personal Injury</t>
        </is>
      </c>
      <c r="Z2" t="inlineStr"/>
      <c r="AA2" t="inlineStr">
        <is>
          <t> </t>
        </is>
      </c>
      <c r="AB2" t="inlineStr">
        <is>
          <t>Monday</t>
        </is>
      </c>
      <c r="AC2" t="inlineStr">
        <is>
          <t> </t>
        </is>
      </c>
      <c r="AK2" t="inlineStr">
        <is>
          <t>RALPHS, BRIAN</t>
        </is>
      </c>
      <c r="AL2" t="inlineStr">
        <is>
          <t>LH6-M167160-00</t>
        </is>
      </c>
      <c r="AM2" t="n">
        <v>2025</v>
      </c>
      <c r="AN2" t="inlineStr">
        <is>
          <t>85-0088608301</t>
        </is>
      </c>
      <c r="AO2" t="n">
        <v>1</v>
      </c>
      <c r="BC2" s="23" t="n"/>
    </row>
    <row r="3">
      <c r="A3" t="inlineStr">
        <is>
          <t>1521764304</t>
        </is>
      </c>
      <c r="B3" t="inlineStr">
        <is>
          <t>AMAROK LLC</t>
        </is>
      </c>
      <c r="C3" t="inlineStr">
        <is>
          <t>83-00175815</t>
        </is>
      </c>
      <c r="D3" t="inlineStr">
        <is>
          <t>02</t>
        </is>
      </c>
      <c r="E3" t="inlineStr">
        <is>
          <t>Waters, William</t>
        </is>
      </c>
      <c r="F3" t="inlineStr">
        <is>
          <t>California</t>
        </is>
      </c>
      <c r="G3" t="inlineStr">
        <is>
          <t>CA</t>
        </is>
      </c>
      <c r="H3" t="inlineStr">
        <is>
          <t>WD6</t>
        </is>
      </c>
      <c r="I3" t="inlineStr">
        <is>
          <t>M147769</t>
        </is>
      </c>
      <c r="J3" t="inlineStr">
        <is>
          <t>00</t>
        </is>
      </c>
      <c r="K3" t="inlineStr">
        <is>
          <t>10/01/2025</t>
        </is>
      </c>
      <c r="L3" t="inlineStr">
        <is>
          <t>10/01/2026</t>
        </is>
      </c>
      <c r="M3" t="inlineStr">
        <is>
          <t>04/01/2026</t>
        </is>
      </c>
      <c r="N3" t="inlineStr">
        <is>
          <t>04/02/2026</t>
        </is>
      </c>
      <c r="O3" t="n">
        <v>1</v>
      </c>
      <c r="P3" t="inlineStr">
        <is>
          <t>open</t>
        </is>
      </c>
      <c r="R3" t="inlineStr">
        <is>
          <t>WC Coverage -Med Only</t>
        </is>
      </c>
      <c r="S3" t="inlineStr">
        <is>
          <t>MP-Multiple Body Parts</t>
        </is>
      </c>
      <c r="T3" t="inlineStr">
        <is>
          <t>ML-All other injuries</t>
        </is>
      </c>
      <c r="U3" t="inlineStr">
        <is>
          <t>Q7-Other misc. causes</t>
        </is>
      </c>
      <c r="Z3" t="inlineStr"/>
      <c r="AA3" t="inlineStr">
        <is>
          <t>Field Technician</t>
        </is>
      </c>
      <c r="AB3" t="inlineStr">
        <is>
          <t>Wednesday</t>
        </is>
      </c>
      <c r="AC3" t="inlineStr">
        <is>
          <t> </t>
        </is>
      </c>
      <c r="AK3" t="inlineStr">
        <is>
          <t>BARBOZA, KERRI</t>
        </is>
      </c>
      <c r="AL3" t="inlineStr">
        <is>
          <t>WD6-M147769-00</t>
        </is>
      </c>
      <c r="AM3" t="n">
        <v>2025</v>
      </c>
      <c r="AN3" t="inlineStr">
        <is>
          <t>83-0017581502</t>
        </is>
      </c>
      <c r="AO3" t="n">
        <v>1</v>
      </c>
    </row>
    <row r="4">
      <c r="A4" t="inlineStr">
        <is>
          <t>1521764304</t>
        </is>
      </c>
      <c r="B4" t="inlineStr">
        <is>
          <t>AMAROK LLC</t>
        </is>
      </c>
      <c r="C4" t="inlineStr">
        <is>
          <t>83-00175815</t>
        </is>
      </c>
      <c r="D4" t="inlineStr">
        <is>
          <t>01</t>
        </is>
      </c>
      <c r="E4" t="inlineStr">
        <is>
          <t>Waters, William</t>
        </is>
      </c>
      <c r="F4" t="inlineStr">
        <is>
          <t>California</t>
        </is>
      </c>
      <c r="G4" t="inlineStr">
        <is>
          <t>CA</t>
        </is>
      </c>
      <c r="H4" t="inlineStr">
        <is>
          <t>WD6</t>
        </is>
      </c>
      <c r="I4" t="inlineStr">
        <is>
          <t>M147769</t>
        </is>
      </c>
      <c r="J4" t="inlineStr">
        <is>
          <t>00</t>
        </is>
      </c>
      <c r="K4" t="inlineStr">
        <is>
          <t>10/01/2025</t>
        </is>
      </c>
      <c r="L4" t="inlineStr">
        <is>
          <t>10/01/2026</t>
        </is>
      </c>
      <c r="M4" t="inlineStr">
        <is>
          <t>04/01/2026</t>
        </is>
      </c>
      <c r="N4" t="inlineStr">
        <is>
          <t>04/02/2026</t>
        </is>
      </c>
      <c r="O4" t="n">
        <v>1</v>
      </c>
      <c r="P4" t="inlineStr">
        <is>
          <t>open</t>
        </is>
      </c>
      <c r="R4" t="inlineStr">
        <is>
          <t>WC Coverage - Other than Med</t>
        </is>
      </c>
      <c r="S4" t="inlineStr">
        <is>
          <t>MP-Multiple Body Parts</t>
        </is>
      </c>
      <c r="T4" t="inlineStr">
        <is>
          <t>ML-All other injuries</t>
        </is>
      </c>
      <c r="U4" t="inlineStr">
        <is>
          <t>Q7-Other misc. causes</t>
        </is>
      </c>
      <c r="Z4" t="inlineStr"/>
      <c r="AA4" t="inlineStr">
        <is>
          <t>Field Technician</t>
        </is>
      </c>
      <c r="AB4" t="inlineStr">
        <is>
          <t>Wednesday</t>
        </is>
      </c>
      <c r="AC4" t="inlineStr">
        <is>
          <t> </t>
        </is>
      </c>
      <c r="AK4" t="inlineStr">
        <is>
          <t>BARBOZA, KERRI</t>
        </is>
      </c>
      <c r="AL4" t="inlineStr">
        <is>
          <t>WD6-M147769-00</t>
        </is>
      </c>
      <c r="AM4" t="n">
        <v>2025</v>
      </c>
      <c r="AN4" t="inlineStr">
        <is>
          <t>83-0017581501</t>
        </is>
      </c>
      <c r="AO4" t="n">
        <v>0</v>
      </c>
    </row>
    <row r="5">
      <c r="A5" t="inlineStr">
        <is>
          <t>1521764304</t>
        </is>
      </c>
      <c r="B5" t="inlineStr">
        <is>
          <t>AMAROK LLC</t>
        </is>
      </c>
      <c r="C5" t="inlineStr">
        <is>
          <t>85-00886083</t>
        </is>
      </c>
      <c r="D5" t="inlineStr">
        <is>
          <t>02</t>
        </is>
      </c>
      <c r="E5" t="inlineStr">
        <is>
          <t>Unknown, Unknown</t>
        </is>
      </c>
      <c r="F5" t="inlineStr">
        <is>
          <t>550 Assembly St, Columbia, SC</t>
        </is>
      </c>
      <c r="G5" t="inlineStr">
        <is>
          <t>WA</t>
        </is>
      </c>
      <c r="H5" t="inlineStr">
        <is>
          <t>LH6</t>
        </is>
      </c>
      <c r="I5" t="inlineStr">
        <is>
          <t>M167160</t>
        </is>
      </c>
      <c r="J5" t="inlineStr">
        <is>
          <t>00</t>
        </is>
      </c>
      <c r="K5" t="inlineStr">
        <is>
          <t>10/01/2025</t>
        </is>
      </c>
      <c r="L5" t="inlineStr">
        <is>
          <t>10/01/2026</t>
        </is>
      </c>
      <c r="M5" t="inlineStr">
        <is>
          <t>12/01/2025</t>
        </is>
      </c>
      <c r="N5" t="inlineStr">
        <is>
          <t>12/11/2025</t>
        </is>
      </c>
      <c r="O5" t="n">
        <v>10</v>
      </c>
      <c r="P5" t="inlineStr">
        <is>
          <t>closed</t>
        </is>
      </c>
      <c r="Q5" t="inlineStr">
        <is>
          <t>01/30/2026</t>
        </is>
      </c>
      <c r="R5" t="inlineStr">
        <is>
          <t>Premises/Operations-Advertising Personal Injury Bodily Injury</t>
        </is>
      </c>
      <c r="S5" t="inlineStr">
        <is>
          <t>Professional Liability</t>
        </is>
      </c>
      <c r="T5" t="inlineStr">
        <is>
          <t>Struck Against Object</t>
        </is>
      </c>
      <c r="U5" t="inlineStr">
        <is>
          <t>Personal Injury</t>
        </is>
      </c>
      <c r="Z5" t="inlineStr"/>
      <c r="AA5" t="inlineStr">
        <is>
          <t> </t>
        </is>
      </c>
      <c r="AB5" t="inlineStr">
        <is>
          <t>Monday</t>
        </is>
      </c>
      <c r="AC5" t="inlineStr">
        <is>
          <t> </t>
        </is>
      </c>
      <c r="AK5" t="inlineStr">
        <is>
          <t>RALPHS, BRIAN</t>
        </is>
      </c>
      <c r="AL5" t="inlineStr">
        <is>
          <t>LH6-M167160-00</t>
        </is>
      </c>
      <c r="AM5" t="n">
        <v>2025</v>
      </c>
      <c r="AN5" t="inlineStr">
        <is>
          <t>85-0088608302</t>
        </is>
      </c>
      <c r="AO5" t="n">
        <v>0</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KARDOES, RYAN M</dc:creator>
  <dcterms:created xsi:type="dcterms:W3CDTF">2026-04-07T10:58:36Z</dcterms:created>
  <dcterms:modified xsi:type="dcterms:W3CDTF">2026-09-15T15:04:40Z</dcterms:modified>
  <cp:lastModifiedBy>KARDOES, RYAN M</cp:lastModifiedBy>
</cp:coreProperties>
</file>

<file path=docProps/custom.xml><?xml version="1.0" encoding="utf-8"?>
<Properties xmlns:vt="http://schemas.openxmlformats.org/officeDocument/2006/docPropsVTypes" xmlns="http://schemas.openxmlformats.org/officeDocument/2006/custom-properties">
  <property name="MSIP_Label_4c0986b3-3385-442f-b788-cbe40ae57075_Removed" fmtid="{D5CDD505-2E9C-101B-9397-08002B2CF9AE}" pid="2">
    <vt:lpwstr>False</vt:lpwstr>
  </property>
  <property name="MSIP_Label_4c0986b3-3385-442f-b788-cbe40ae57075_ActionId" fmtid="{D5CDD505-2E9C-101B-9397-08002B2CF9AE}" pid="3">
    <vt:lpwstr>7f0d1462-04ac-44ad-b0e4-8590be4dc0ef</vt:lpwstr>
  </property>
  <property name="MSIP_Label_4c0986b3-3385-442f-b788-cbe40ae57075_Name" fmtid="{D5CDD505-2E9C-101B-9397-08002B2CF9AE}" pid="4">
    <vt:lpwstr>Restricted</vt:lpwstr>
  </property>
  <property name="MSIP_Label_4c0986b3-3385-442f-b788-cbe40ae57075_SetDate" fmtid="{D5CDD505-2E9C-101B-9397-08002B2CF9AE}" pid="5">
    <vt:lpwstr>2026-04-07T12:19:45Z</vt:lpwstr>
  </property>
  <property name="MSIP_Label_4c0986b3-3385-442f-b788-cbe40ae57075_SiteId" fmtid="{D5CDD505-2E9C-101B-9397-08002B2CF9AE}" pid="6">
    <vt:lpwstr>3ea62a99-e446-48ea-b404-0ac8d9c9b14a</vt:lpwstr>
  </property>
  <property name="MSIP_Label_4c0986b3-3385-442f-b788-cbe40ae57075_Enabled" fmtid="{D5CDD505-2E9C-101B-9397-08002B2CF9AE}" pid="7">
    <vt:lpwstr>True</vt:lpwstr>
  </property>
  <property name="MSIP_Label_4c0986b3-3385-442f-b788-cbe40ae57075_Extended_MSFT_Method" fmtid="{D5CDD505-2E9C-101B-9397-08002B2CF9AE}" pid="8">
    <vt:lpwstr>Standard</vt:lpwstr>
  </property>
  <property name="Sensitivity" fmtid="{D5CDD505-2E9C-101B-9397-08002B2CF9AE}" pid="9">
    <vt:lpwstr>Restricted</vt:lpwstr>
  </property>
</Properties>
</file>